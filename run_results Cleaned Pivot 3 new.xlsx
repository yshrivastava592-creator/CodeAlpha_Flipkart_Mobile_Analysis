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C624748-24FC-4E18-A8BD-40B1EB667364}" xr6:coauthVersionLast="47" xr6:coauthVersionMax="47" xr10:uidLastSave="{00000000-0000-0000-0000-000000000000}"/>
  <bookViews>
    <workbookView xWindow="-110" yWindow="-110" windowWidth="19420" windowHeight="11500" activeTab="4" xr2:uid="{66409BA6-9262-4E39-A18C-08878ECE8639}"/>
  </bookViews>
  <sheets>
    <sheet name="Brand Count" sheetId="5" r:id="rId1"/>
    <sheet name="Average Price" sheetId="6" r:id="rId2"/>
    <sheet name="Storage Analysis" sheetId="7" r:id="rId3"/>
    <sheet name="Summary of EDA" sheetId="8" r:id="rId4"/>
    <sheet name="Data Table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F2" i="3"/>
  <c r="G2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19467-17EF-4F1C-827D-B11CB79EF7D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7EE2FBF-CCE0-4C96-951A-31DA2BFCE80C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<sst xmlns="http://schemas.openxmlformats.org/spreadsheetml/2006/main" count="401" uniqueCount="170">
  <si>
    <t>POCO C85x (Emerald Green, 64 GB)</t>
  </si>
  <si>
    <t>MOTOROLA g67 power 5G (Pantone Parachute, 128 GB)</t>
  </si>
  <si>
    <t>REDMI A5 (Jaisalmer Gold, 64 GB)</t>
  </si>
  <si>
    <t>POCO C85x (Elite Black, 64 GB)</t>
  </si>
  <si>
    <t>POCO C85x (Emerald Green, 128 GB)</t>
  </si>
  <si>
    <t>realme P4 Lite 5G (Mosaic Green, 64 GB)</t>
  </si>
  <si>
    <t>REDMI Note 15 SE 5G (Crimson Reserve, 128 GB)</t>
  </si>
  <si>
    <t>ringme R1+ JUMBO</t>
  </si>
  <si>
    <t>POCO C85x (Sunset Gold, 64 GB)</t>
  </si>
  <si>
    <t>Ai+ Pulse 1 (Black, 64 GB)</t>
  </si>
  <si>
    <t>Ai+ Pulse 1 (Green, 64 GB)</t>
  </si>
  <si>
    <t>Ai+ Pulse 2 (Purple, 64 GB)</t>
  </si>
  <si>
    <t>MOTOROLA g06 power (Pantone tapestry, 64 GB)</t>
  </si>
  <si>
    <t>realme P4 Lite (Beach Gold, 128 GB)</t>
  </si>
  <si>
    <t>Ai+ Pulse 1 (Blue, 64 GB)</t>
  </si>
  <si>
    <t>Jmax MINI</t>
  </si>
  <si>
    <t>Ai+ Pulse 1 (Purple, 64 GB)</t>
  </si>
  <si>
    <t>MOTOROLA g57 power 5G (Pantone Corsair, 128 GB)</t>
  </si>
  <si>
    <t>itel it5262</t>
  </si>
  <si>
    <t>MOTOROLA Edge 70 Fusion (Pantone SILHOUETTE, 256 GB)</t>
  </si>
  <si>
    <t>POCO M7 Plus 5G (Chrome Silver, 128 GB)</t>
  </si>
  <si>
    <t>MOTOROLA g35 5G (Guava Red, 128 GB)</t>
  </si>
  <si>
    <t>REDMI A5 (Just Black, 64 GB)</t>
  </si>
  <si>
    <t>MOTOROLA Edge 60 Fusion 5G (PANTONE Mykonos Blue, 128 GB)</t>
  </si>
  <si>
    <t>Samsung Galaxy F70e 5G (Spotlight Blue, 128 GB)</t>
  </si>
  <si>
    <t>POCO M7 Plus 5G (Carbon Black, 128 GB)</t>
  </si>
  <si>
    <t>Samsung Galaxy F06 5G (Lit Violet, 128 GB)</t>
  </si>
  <si>
    <t>Nokia 105 Classic Single Sim Keypad Phone, Without Charger</t>
  </si>
  <si>
    <t>MOTOROLA g35 5G (Leaf Green, 128 GB)</t>
  </si>
  <si>
    <t>MOTOROLA G96 5G (Pantone Ashleigh Blue, 128 GB)</t>
  </si>
  <si>
    <t>POCO C75 5G (Aqua Bliss, 64 GB)</t>
  </si>
  <si>
    <t>Samsung Galaxy F06 5G (Bahama Blue, 128 GB)</t>
  </si>
  <si>
    <t>Ai+ Pulse 2 (Blue, 64 GB)</t>
  </si>
  <si>
    <t>POCO C75 5G (Enchanted Green, 128 GB)</t>
  </si>
  <si>
    <t>realme P4 Lite (Sea Blue, 128 GB)</t>
  </si>
  <si>
    <t>REDMI Note 15 SE 5G (Crimson Reserve, 256 GB)</t>
  </si>
  <si>
    <t>itel it5330 | 2.8 inch Big Display | 1900 mAh Battery | Kingvoice</t>
  </si>
  <si>
    <t>Samsung Galaxy A07 LTE (Light Violet, 64 GB)</t>
  </si>
  <si>
    <t>MOTOROLA g67 power 5G (Pantone Cilantro, 128 GB)</t>
  </si>
  <si>
    <t>realme P4x 5G (Matte Silver, 256 GB)</t>
  </si>
  <si>
    <t>Samsung Galaxy F70e 5G (Limelight Green, 128 GB)</t>
  </si>
  <si>
    <t>POCO C85x (Elite Black, 128 GB)</t>
  </si>
  <si>
    <t>REDMI A4 (Sparkle Purple, 128 GB)</t>
  </si>
  <si>
    <t>Alcatel V3 Pro 5G (Matcha Green, 256 GB)</t>
  </si>
  <si>
    <t>Samsung Galaxy F07 (Green, 64 GB)</t>
  </si>
  <si>
    <t>LAVA A3 King</t>
  </si>
  <si>
    <t>Jmax Super 1</t>
  </si>
  <si>
    <t>POCO C75 5G (Enchanted Green, 64 GB)</t>
  </si>
  <si>
    <t>POCO C71 (Cool Blue, 128 GB)</t>
  </si>
  <si>
    <t>Nokia 106 Single Sim Keypad Phone with Built-in UPI App, MP3 Player</t>
  </si>
  <si>
    <t>MOTOROLA G96 5G (Pantone Dresden Blue, 128 GB)</t>
  </si>
  <si>
    <t>IQOO Z11x 5G (Prismatic Green, 128 GB)</t>
  </si>
  <si>
    <t>MOTOROLA Edge 70 Fusion (Pantone SILHOUETTE, 128 GB)</t>
  </si>
  <si>
    <t>Samsung Galaxy M07 (Black, 64 GB)</t>
  </si>
  <si>
    <t>Nokia 130 Music Dual Sim with Music Player, Dedicated Music Buttons</t>
  </si>
  <si>
    <t>realme Narzo 90x 5G (Maroon Red, 128 GB)</t>
  </si>
  <si>
    <t>Ai+ Pulse 2 (Pink, 128 GB)</t>
  </si>
  <si>
    <t>Samsung M36 5G (Velvet Black / Black, 128 GB)</t>
  </si>
  <si>
    <t>Nokia All-New 105 Single Sim Keypad Phone with Built-in UPI Payments</t>
  </si>
  <si>
    <t>MOTOROLA Edge 60 Fusion 5G (PANTONE Amazonite, 128 GB)</t>
  </si>
  <si>
    <t>Micromax X778</t>
  </si>
  <si>
    <t>Samsung Galaxy A07 LTE (Green, 64 GB)</t>
  </si>
  <si>
    <t>POCO C75 5G (Aqua Bliss, 128 GB)</t>
  </si>
  <si>
    <t>POCO M7 5G (Satin Black, 128 GB)</t>
  </si>
  <si>
    <t>Samsung M06 5G (Sage Green, 128 GB)</t>
  </si>
  <si>
    <t>realme P4 Lite 5G (Mosaic Blue, 64 GB)</t>
  </si>
  <si>
    <t>POCO C85 5G (Power Black, 128 GB)</t>
  </si>
  <si>
    <t>Ai+ Pulse 1 (Sparkle Red, 128 GB)</t>
  </si>
  <si>
    <t>MOTOROLA G96 5G (Pantone Cattleya Orchid, 128 GB)</t>
  </si>
  <si>
    <t>vivo T5 Pro 5G (Cosmic Black, 128 GB)</t>
  </si>
  <si>
    <t>HOTLINE TIGER</t>
  </si>
  <si>
    <t>Ai+ Pulse 1 (Black, 128 GB)</t>
  </si>
  <si>
    <t>itel Ace 3 Shine</t>
  </si>
  <si>
    <t>MOTOROLA g67 power 5G (Pantone Curacao Blue, 128 GB)</t>
  </si>
  <si>
    <t>Nokia 105 Classic Single Sim Keypad Phone, Charger in-Box</t>
  </si>
  <si>
    <t>POCO M7 5G (Ocean Blue, 128 GB)</t>
  </si>
  <si>
    <t>POCO M6 Plus 5G (Ice Silver, 128 GB)</t>
  </si>
  <si>
    <t>realme P4 Lite 5G (Mosaic Green, 128 GB)</t>
  </si>
  <si>
    <t>Samsung M36 5G (Light Green, 128 GB)</t>
  </si>
  <si>
    <t>OPPO K14x 5G (Icy Blue, 64 GB)</t>
  </si>
  <si>
    <t>MOTOROLA g06 power (Pantone Laurel Oak, 64 GB)</t>
  </si>
  <si>
    <t>GFive SHARK</t>
  </si>
  <si>
    <t>Ai+ Nova 5G (Purple, 128 GB)</t>
  </si>
  <si>
    <t>Kechaoda A27</t>
  </si>
  <si>
    <t>KARBONN K9 Jumbo,Dual Keypad Mobile,2.4 Big LCD,2MP Camera,1800mAh Battery,FM,Vibratore</t>
  </si>
  <si>
    <t>POCO C75 5G (Silver Stardust, 64 GB)</t>
  </si>
  <si>
    <t>REDMI Note 14 SE 5G (Titan Black, 128 GB)</t>
  </si>
  <si>
    <t>LAVA A3 Torch</t>
  </si>
  <si>
    <t>REDMI Note 15 SE 5G (Frosted White, 128 GB)</t>
  </si>
  <si>
    <t>Apple iPhone 17 (Black, 256 GB)</t>
  </si>
  <si>
    <t>LAVA A7 Torch+</t>
  </si>
  <si>
    <t>MOTOROLA g06 power (Pantone Tendril, 64 GB)</t>
  </si>
  <si>
    <t>Kechaoda K115</t>
  </si>
  <si>
    <t>Ai+ Pulse 2 (Green, 128 GB)</t>
  </si>
  <si>
    <t>POCO M8 (Carbon Black, 128 GB)</t>
  </si>
  <si>
    <t>HOTLINE Amaze H312</t>
  </si>
  <si>
    <t>LAVA A1 Josh</t>
  </si>
  <si>
    <t>vivo T5 Pro 5G (Cosmic Black, 256 GB)</t>
  </si>
  <si>
    <t>LAVA A2 Smart</t>
  </si>
  <si>
    <t>POCO M7 Plus 5G (Aqua Blue, 128 GB)</t>
  </si>
  <si>
    <t>MOTOROLA Edge 70 Fusion (Pantone COUNTRY AIR, 128 GB)</t>
  </si>
  <si>
    <t>OnePlus Nord CE5 5G (Black Infinity, 128 GB)</t>
  </si>
  <si>
    <t>MOTOROLA Edge 60 Pro (Pantone Shadow, 512 GB)</t>
  </si>
  <si>
    <t>Nothing Phone (4a) (White, 256 GB)</t>
  </si>
  <si>
    <t>realme P4 Lite (Sea Blue, 64 GB)</t>
  </si>
  <si>
    <t>REDMI 15A (Ace Black, 64 GB)</t>
  </si>
  <si>
    <t>REDMI A5 (Pondicherry Blue, 64 GB)</t>
  </si>
  <si>
    <t>realme Narzo 80 Lite 5G (Onyx Black, 128 GB)</t>
  </si>
  <si>
    <t>Apple iPhone 15 (Black, 128 GB)</t>
  </si>
  <si>
    <t>realme P4x 5G (Lake Green, 256 GB)</t>
  </si>
  <si>
    <t>MOTOROLA Edge 70 Fusion (Pantone COUNTRY AIR, 256 GB)</t>
  </si>
  <si>
    <t>MOTOROLA Moto A100</t>
  </si>
  <si>
    <t>Apple iPhone 16 (White, 128 GB)</t>
  </si>
  <si>
    <t>vivo T4x 5G (Marine Blue, 128 GB)</t>
  </si>
  <si>
    <t>vivo Y19e (Majestic Green, 64 GB)</t>
  </si>
  <si>
    <t>HOTLINE ROYAL</t>
  </si>
  <si>
    <t>REDMI Note 15 SE 5G (Carbon Black, 128 GB)</t>
  </si>
  <si>
    <t>vivo T4 5G (Phantom Grey, 256 GB)</t>
  </si>
  <si>
    <t>OPPO K14 5G (Prism Violet, 256 GB)</t>
  </si>
  <si>
    <t>OPPO K14 5G (Prism White, 256 GB)</t>
  </si>
  <si>
    <t>MOTOROLA Edge 70 Fusion (Pantone BLUE SURF, 256 GB)</t>
  </si>
  <si>
    <t>G'Five SHARK 3</t>
  </si>
  <si>
    <t>MOTOROLA Edge 60 Pro (Pantone Walnut, 256 GB)</t>
  </si>
  <si>
    <t>Product Name</t>
  </si>
  <si>
    <t>Price</t>
  </si>
  <si>
    <t>Brand</t>
  </si>
  <si>
    <t>POCO</t>
  </si>
  <si>
    <t>MOTOROLA</t>
  </si>
  <si>
    <t>REDMI</t>
  </si>
  <si>
    <t>realme</t>
  </si>
  <si>
    <t>ringme</t>
  </si>
  <si>
    <t>Ai+</t>
  </si>
  <si>
    <t>Jmax</t>
  </si>
  <si>
    <t>itel</t>
  </si>
  <si>
    <t>Samsung</t>
  </si>
  <si>
    <t>Nokia</t>
  </si>
  <si>
    <t>Alcatel</t>
  </si>
  <si>
    <t>LAVA</t>
  </si>
  <si>
    <t>IQOO</t>
  </si>
  <si>
    <t>Micromax</t>
  </si>
  <si>
    <t>vivo</t>
  </si>
  <si>
    <t>HOTLINE</t>
  </si>
  <si>
    <t>OPPO</t>
  </si>
  <si>
    <t>GFive</t>
  </si>
  <si>
    <t>Kechaoda</t>
  </si>
  <si>
    <t>KARBONN</t>
  </si>
  <si>
    <t>Apple</t>
  </si>
  <si>
    <t>OnePlus</t>
  </si>
  <si>
    <t>Nothing</t>
  </si>
  <si>
    <t>G'Five</t>
  </si>
  <si>
    <t>Storage</t>
  </si>
  <si>
    <t>Total Products</t>
  </si>
  <si>
    <t>Min Price</t>
  </si>
  <si>
    <t>Max Price</t>
  </si>
  <si>
    <t>Avg Price</t>
  </si>
  <si>
    <t>Row Labels</t>
  </si>
  <si>
    <t>Grand Total</t>
  </si>
  <si>
    <t>Count of Brand</t>
  </si>
  <si>
    <t>Average of Price</t>
  </si>
  <si>
    <t>Average Price</t>
  </si>
  <si>
    <t>128GB</t>
  </si>
  <si>
    <t>64GB</t>
  </si>
  <si>
    <t>Observation:</t>
  </si>
  <si>
    <t>This shows the number of products per brand. POCO appears most frequently in the dataset.</t>
  </si>
  <si>
    <t>This shows average price by brand. Some brands like Motorola have higher average prices.</t>
  </si>
  <si>
    <t>This shows price based on storage. 128GB phones are more expensive than 64GB.</t>
  </si>
  <si>
    <t>Brand Distribution Analysis</t>
  </si>
  <si>
    <t>Average Price Analysis</t>
  </si>
  <si>
    <t>Storage vs Price Analysis</t>
  </si>
  <si>
    <t xml:space="preserve">  Total Products: 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</si>
</sst>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pivotButton="1"/>
    <xf numFmtId="2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0" borderId="11" xfId="0" applyFont="1" applyBorder="1"/>
    <xf numFmtId="0" fontId="19" fillId="0" borderId="14" xfId="0" applyFont="1" applyBorder="1"/>
    <xf numFmtId="0" fontId="19" fillId="0" borderId="0" xfId="0" applyFont="1"/>
    <xf numFmtId="0" fontId="16" fillId="0" borderId="0" xfId="0" applyFont="1"/>
    <xf numFmtId="0" fontId="16" fillId="0" borderId="15" xfId="0" applyFont="1" applyBorder="1"/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21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[run_results Cleaned Pivot 3 new.xlsx]Brand Count!PivotTable2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'Brand Count'!$A$4:$A$28</c:f>
              <c:strCache>
                <c:ptCount val="24"/>
                <c:pt idx="0">
                  <c:v>IQOO</c:v>
                </c:pt>
                <c:pt idx="1">
                  <c:v>OnePlus</c:v>
                </c:pt>
                <c:pt idx="2">
                  <c:v>Nothing</c:v>
                </c:pt>
                <c:pt idx="3">
                  <c:v>Alcatel</c:v>
                </c:pt>
                <c:pt idx="4">
                  <c:v>G'Five</c:v>
                </c:pt>
                <c:pt idx="5">
                  <c:v>KARBONN</c:v>
                </c:pt>
                <c:pt idx="6">
                  <c:v>GFive</c:v>
                </c:pt>
                <c:pt idx="7">
                  <c:v>Micromax</c:v>
                </c:pt>
                <c:pt idx="8">
                  <c:v>ringme</c:v>
                </c:pt>
                <c:pt idx="9">
                  <c:v>Jmax</c:v>
                </c:pt>
                <c:pt idx="10">
                  <c:v>Apple</c:v>
                </c:pt>
                <c:pt idx="11">
                  <c:v>Kechaoda</c:v>
                </c:pt>
                <c:pt idx="12">
                  <c:v>HOTLINE</c:v>
                </c:pt>
                <c:pt idx="13">
                  <c:v>OPPO</c:v>
                </c:pt>
                <c:pt idx="14">
                  <c:v>LAVA</c:v>
                </c:pt>
                <c:pt idx="15">
                  <c:v>itel</c:v>
                </c:pt>
                <c:pt idx="16">
                  <c:v>vivo</c:v>
                </c:pt>
                <c:pt idx="17">
                  <c:v>Nokia</c:v>
                </c:pt>
                <c:pt idx="18">
                  <c:v>REDMI</c:v>
                </c:pt>
                <c:pt idx="19">
                  <c:v>realme</c:v>
                </c:pt>
                <c:pt idx="20">
                  <c:v>Samsung</c:v>
                </c:pt>
                <c:pt idx="21">
                  <c:v>Ai+</c:v>
                </c:pt>
                <c:pt idx="22">
                  <c:v>MOTOROLA</c:v>
                </c:pt>
                <c:pt idx="23">
                  <c:v>POCO</c:v>
                </c:pt>
              </c:strCache>
            </c:strRef>
          </c:cat>
          <c:val>
            <c:numRef>
              <c:f>'Brand Count'!$B$4:$B$28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9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16</c:v>
                </c:pt>
                <c:pt idx="22">
                  <c:v>26</c:v>
                </c:pt>
                <c:pt idx="2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D-4A86-9826-57A334D1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076127"/>
        <c:axId val="1757076607"/>
      </c:barChart>
      <c:catAx>
        <c:axId val="175707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76607"/>
        <c:crosses val="autoZero"/>
        <c:auto val="1"/>
        <c:lblAlgn val="ctr"/>
        <c:lblOffset val="100"/>
        <c:noMultiLvlLbl val="0"/>
      </c:catAx>
      <c:valAx>
        <c:axId val="1757076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7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[run_results Cleaned Pivot 3 new.xlsx]Average Price!PivotTable3</c:name>
    <c:fmtId val="5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80994782049961"/>
          <c:y val="8.1840393436856854E-2"/>
          <c:w val="0.65960324153589101"/>
          <c:h val="0.856689913051124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'Average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Price'!$A$4:$A$28</c:f>
              <c:strCache>
                <c:ptCount val="24"/>
                <c:pt idx="0">
                  <c:v>Apple</c:v>
                </c:pt>
                <c:pt idx="1">
                  <c:v>Nothing</c:v>
                </c:pt>
                <c:pt idx="2">
                  <c:v>OnePlus</c:v>
                </c:pt>
                <c:pt idx="3">
                  <c:v>vivo</c:v>
                </c:pt>
                <c:pt idx="4">
                  <c:v>IQOO</c:v>
                </c:pt>
                <c:pt idx="5">
                  <c:v>MOTOROLA</c:v>
                </c:pt>
                <c:pt idx="6">
                  <c:v>OPPO</c:v>
                </c:pt>
                <c:pt idx="7">
                  <c:v>REDMI</c:v>
                </c:pt>
                <c:pt idx="8">
                  <c:v>realme</c:v>
                </c:pt>
                <c:pt idx="9">
                  <c:v>Alcatel</c:v>
                </c:pt>
                <c:pt idx="10">
                  <c:v>Samsung</c:v>
                </c:pt>
                <c:pt idx="11">
                  <c:v>POCO</c:v>
                </c:pt>
                <c:pt idx="12">
                  <c:v>Ai+</c:v>
                </c:pt>
                <c:pt idx="13">
                  <c:v>ringme</c:v>
                </c:pt>
                <c:pt idx="14">
                  <c:v>Nokia</c:v>
                </c:pt>
                <c:pt idx="15">
                  <c:v>KARBONN</c:v>
                </c:pt>
                <c:pt idx="16">
                  <c:v>itel</c:v>
                </c:pt>
                <c:pt idx="17">
                  <c:v>Micromax</c:v>
                </c:pt>
                <c:pt idx="18">
                  <c:v>LAVA</c:v>
                </c:pt>
                <c:pt idx="19">
                  <c:v>Kechaoda</c:v>
                </c:pt>
                <c:pt idx="20">
                  <c:v>GFive</c:v>
                </c:pt>
                <c:pt idx="21">
                  <c:v>Jmax</c:v>
                </c:pt>
                <c:pt idx="22">
                  <c:v>G'Five</c:v>
                </c:pt>
                <c:pt idx="23">
                  <c:v>HOTLINE</c:v>
                </c:pt>
              </c:strCache>
            </c:strRef>
          </c:cat>
          <c:val>
            <c:numRef>
              <c:f>'Average Price'!$B$4:$B$28</c:f>
              <c:numCache>
                <c:formatCode>0.00</c:formatCode>
                <c:ptCount val="24"/>
                <c:pt idx="0">
                  <c:v>70900</c:v>
                </c:pt>
                <c:pt idx="1">
                  <c:v>37999</c:v>
                </c:pt>
                <c:pt idx="2">
                  <c:v>28999</c:v>
                </c:pt>
                <c:pt idx="3">
                  <c:v>24806.5</c:v>
                </c:pt>
                <c:pt idx="4">
                  <c:v>21900</c:v>
                </c:pt>
                <c:pt idx="5">
                  <c:v>20808.5</c:v>
                </c:pt>
                <c:pt idx="6">
                  <c:v>19665.666666666668</c:v>
                </c:pt>
                <c:pt idx="7">
                  <c:v>15539.833333333334</c:v>
                </c:pt>
                <c:pt idx="8">
                  <c:v>14279.76923076923</c:v>
                </c:pt>
                <c:pt idx="9">
                  <c:v>13999</c:v>
                </c:pt>
                <c:pt idx="10">
                  <c:v>13561</c:v>
                </c:pt>
                <c:pt idx="11">
                  <c:v>13289.322580645161</c:v>
                </c:pt>
                <c:pt idx="12">
                  <c:v>8874</c:v>
                </c:pt>
                <c:pt idx="13">
                  <c:v>1599</c:v>
                </c:pt>
                <c:pt idx="14">
                  <c:v>1525.4444444444443</c:v>
                </c:pt>
                <c:pt idx="15">
                  <c:v>1496</c:v>
                </c:pt>
                <c:pt idx="16">
                  <c:v>1385</c:v>
                </c:pt>
                <c:pt idx="17">
                  <c:v>1342</c:v>
                </c:pt>
                <c:pt idx="18">
                  <c:v>1291.8</c:v>
                </c:pt>
                <c:pt idx="19">
                  <c:v>965</c:v>
                </c:pt>
                <c:pt idx="20">
                  <c:v>749</c:v>
                </c:pt>
                <c:pt idx="21">
                  <c:v>717.66666666666663</c:v>
                </c:pt>
                <c:pt idx="22">
                  <c:v>599</c:v>
                </c:pt>
                <c:pt idx="23">
                  <c:v>542.66666666666663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1-49DD-9D73-98CFCD6A9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717359"/>
        <c:axId val="1150701039"/>
      </c:barChart>
      <c:catAx>
        <c:axId val="115071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01039"/>
        <c:crosses val="autoZero"/>
        <c:auto val="1"/>
        <c:lblAlgn val="ctr"/>
        <c:lblOffset val="100"/>
        <c:noMultiLvlLbl val="0"/>
      </c:catAx>
      <c:valAx>
        <c:axId val="115070103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1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[run_results Cleaned Pivot 3 new.xlsx]Storage Analysis!PivotTable4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'Storage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E2E-45B7-A4F7-6E7359EA59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E2E-45B7-A4F7-6E7359EA59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'Storage Analysis'!$A$4:$A$6</c:f>
              <c:strCache>
                <c:ptCount val="2"/>
                <c:pt idx="0">
                  <c:v>128GB</c:v>
                </c:pt>
                <c:pt idx="1">
                  <c:v>64GB</c:v>
                </c:pt>
              </c:strCache>
            </c:strRef>
          </c:cat>
          <c:val>
            <c:numRef>
              <c:f>'Storage Analysis'!$B$4:$B$6</c:f>
              <c:numCache>
                <c:formatCode>0.00</c:formatCode>
                <c:ptCount val="2"/>
                <c:pt idx="0">
                  <c:v>17574.338028169015</c:v>
                </c:pt>
                <c:pt idx="1">
                  <c:v>10700.780219780219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E-45B7-A4F7-6E7359EA594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419652</xdr:colOff>
      <xdr:row>2</xdr:row>
      <xdr:rowOff>9203</xdr:rowOff>
    </xdr:from>
    <xdr:to>
      <xdr:col>9</xdr:col>
      <xdr:colOff>598189</xdr:colOff>
      <xdr:row>27</xdr:row>
      <xdr:rowOff>165652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B88FF6-7A31-97C6-3161-C0D33012D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604921</xdr:colOff>
      <xdr:row>2</xdr:row>
      <xdr:rowOff>2841</xdr:rowOff>
    </xdr:from>
    <xdr:to>
      <xdr:col>10</xdr:col>
      <xdr:colOff>8355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3937BE-1974-979B-A118-970C8C8C3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197459</xdr:colOff>
      <xdr:row>2</xdr:row>
      <xdr:rowOff>0</xdr:rowOff>
    </xdr:from>
    <xdr:to>
      <xdr:col>5</xdr:col>
      <xdr:colOff>8699</xdr:colOff>
      <xdr:row>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45D42-8B95-1764-A478-2E7DBA4D4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19050</xdr:rowOff>
    </xdr:from>
    <xdr:to>
      <xdr:col>19</xdr:col>
      <xdr:colOff>374650</xdr:colOff>
      <xdr:row>19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31DA16-149E-52F5-0268-21E8C5C9B3A1}"/>
            </a:ext>
          </a:extLst>
        </xdr:cNvPr>
        <xdr:cNvSpPr txBox="1"/>
      </xdr:nvSpPr>
      <xdr:spPr>
        <a:xfrm>
          <a:off x="12700" y="889000"/>
          <a:ext cx="11944350" cy="306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"/>
          <a:r>
            <a:rPr lang="en-IN" sz="12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Key Insights:</a:t>
          </a: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fontAlgn="b"/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Budget Focus: The dataset mainly contains budget smartphones.</a:t>
          </a:r>
        </a:p>
        <a:p>
          <a:pPr fontAlgn="b"/>
          <a:endParaRPr lang="en-IN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Price Drivers: Storage capacity significantly impacts the pricing.</a:t>
          </a:r>
        </a:p>
        <a:p>
          <a:pPr fontAlgn="b"/>
          <a:endParaRPr lang="en-IN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Market Share: POCO emerges as the most frequent brand in the data.</a:t>
          </a:r>
        </a:p>
        <a:p>
          <a:pPr fontAlgn="b"/>
          <a:endParaRPr lang="en-IN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Premium Players: Brands like Motorola command higher average prices.</a:t>
          </a:r>
        </a:p>
        <a:p>
          <a:pPr fontAlgn="b"/>
          <a:endParaRPr lang="en-IN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Quality: Raw data required extensive cleaning prior to analysis.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355600</xdr:colOff>
      <xdr:row>1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2BD0FF-E0D8-CE93-3BB0-7C529B983A8F}"/>
            </a:ext>
          </a:extLst>
        </xdr:cNvPr>
        <xdr:cNvSpPr txBox="1"/>
      </xdr:nvSpPr>
      <xdr:spPr>
        <a:xfrm>
          <a:off x="0" y="0"/>
          <a:ext cx="11938000" cy="444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                                                                                                                                                       </a:t>
          </a:r>
          <a:r>
            <a:rPr lang="en-IN" sz="1800" b="1"/>
            <a:t>SUMMARY</a:t>
          </a:r>
          <a:r>
            <a:rPr lang="en-IN" sz="1800" b="1" baseline="0"/>
            <a:t> OF EDA</a:t>
          </a:r>
          <a:endParaRPr lang="en-IN" sz="18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" refreshedDate="46147.521886921299" createdVersion="8" refreshedVersion="8" minRefreshableVersion="3" recordCount="162" xr:uid="{E3C8EF69-ED0A-44D0-A39D-FFA03747FB9C}">
  <cacheSource type="worksheet">
    <worksheetSource ref="A1:H163" sheet="Data Table"/>
  </cacheSource>
  <cacheFields count="8">
    <cacheField name="Brand" numFmtId="0">
      <sharedItems count="24">
        <s v="POCO"/>
        <s v="MOTOROLA"/>
        <s v="REDMI"/>
        <s v="realme"/>
        <s v="ringme"/>
        <s v="Ai+"/>
        <s v="Jmax"/>
        <s v="itel"/>
        <s v="Samsung"/>
        <s v="Nokia"/>
        <s v="Alcatel"/>
        <s v="LAVA"/>
        <s v="IQOO"/>
        <s v="Micromax"/>
        <s v="vivo"/>
        <s v="HOTLINE"/>
        <s v="OPPO"/>
        <s v="GFive"/>
        <s v="Kechaoda"/>
        <s v="KARBONN"/>
        <s v="Apple"/>
        <s v="OnePlus"/>
        <s v="Nothing"/>
        <s v="G'Five"/>
      </sharedItems>
    </cacheField>
    <cacheField name="Product Name" numFmtId="0">
      <sharedItems/>
    </cacheField>
    <cacheField name="Price" numFmtId="0">
      <sharedItems containsSemiMixedTypes="0" containsString="0" containsNumber="1" containsInteger="1" minValue="480" maxValue="82900"/>
    </cacheField>
    <cacheField name="Storage" numFmtId="0">
      <sharedItems count="2">
        <s v="64GB"/>
        <s v="128GB"/>
      </sharedItems>
    </cacheField>
    <cacheField name="Total Products" numFmtId="0">
      <sharedItems containsString="0" containsBlank="1" containsNumber="1" containsInteger="1" minValue="162" maxValue="162"/>
    </cacheField>
    <cacheField name="Min Price" numFmtId="0">
      <sharedItems containsString="0" containsBlank="1" containsNumber="1" containsInteger="1" minValue="480" maxValue="480"/>
    </cacheField>
    <cacheField name="Max Price" numFmtId="0">
      <sharedItems containsString="0" containsBlank="1" containsNumber="1" containsInteger="1" minValue="82900" maxValue="82900"/>
    </cacheField>
    <cacheField name="Avg Price" numFmtId="0">
      <sharedItems containsString="0" containsBlank="1" containsNumber="1" minValue="13713.265432098766" maxValue="13713.265432098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s v="POCO C85x (Emerald Green, 64 GB)"/>
    <n v="11499"/>
    <x v="0"/>
    <n v="162"/>
    <n v="480"/>
    <n v="82900"/>
    <n v="13713.265432098766"/>
  </r>
  <r>
    <x v="1"/>
    <s v="MOTOROLA g67 power 5G (Pantone Parachute, 128 GB)"/>
    <n v="18999"/>
    <x v="1"/>
    <m/>
    <m/>
    <m/>
    <m/>
  </r>
  <r>
    <x v="2"/>
    <s v="REDMI A5 (Jaisalmer Gold, 64 GB)"/>
    <n v="8999"/>
    <x v="0"/>
    <m/>
    <m/>
    <m/>
    <m/>
  </r>
  <r>
    <x v="0"/>
    <s v="POCO C85x (Elite Black, 64 GB)"/>
    <n v="11499"/>
    <x v="0"/>
    <m/>
    <m/>
    <m/>
    <m/>
  </r>
  <r>
    <x v="0"/>
    <s v="POCO C85x (Emerald Green, 128 GB)"/>
    <n v="12499"/>
    <x v="1"/>
    <m/>
    <m/>
    <m/>
    <m/>
  </r>
  <r>
    <x v="3"/>
    <s v="realme P4 Lite 5G (Mosaic Green, 64 GB)"/>
    <n v="13499"/>
    <x v="0"/>
    <m/>
    <m/>
    <m/>
    <m/>
  </r>
  <r>
    <x v="2"/>
    <s v="REDMI Note 15 SE 5G (Crimson Reserve, 128 GB)"/>
    <n v="19999"/>
    <x v="1"/>
    <m/>
    <m/>
    <m/>
    <m/>
  </r>
  <r>
    <x v="4"/>
    <s v="ringme R1+ JUMBO"/>
    <n v="1599"/>
    <x v="0"/>
    <m/>
    <m/>
    <m/>
    <m/>
  </r>
  <r>
    <x v="0"/>
    <s v="POCO C85x (Sunset Gold, 64 GB)"/>
    <n v="11499"/>
    <x v="0"/>
    <m/>
    <m/>
    <m/>
    <m/>
  </r>
  <r>
    <x v="5"/>
    <s v="Ai+ Pulse 1 (Black, 64 GB)"/>
    <n v="7999"/>
    <x v="0"/>
    <m/>
    <m/>
    <m/>
    <m/>
  </r>
  <r>
    <x v="5"/>
    <s v="Ai+ Pulse 1 (Green, 64 GB)"/>
    <n v="7999"/>
    <x v="0"/>
    <m/>
    <m/>
    <m/>
    <m/>
  </r>
  <r>
    <x v="5"/>
    <s v="Ai+ Pulse 2 (Purple, 64 GB)"/>
    <n v="8999"/>
    <x v="0"/>
    <m/>
    <m/>
    <m/>
    <m/>
  </r>
  <r>
    <x v="1"/>
    <s v="MOTOROLA g06 power (Pantone tapestry, 64 GB)"/>
    <n v="9999"/>
    <x v="0"/>
    <m/>
    <m/>
    <m/>
    <m/>
  </r>
  <r>
    <x v="3"/>
    <s v="realme P4 Lite (Beach Gold, 128 GB)"/>
    <n v="11999"/>
    <x v="1"/>
    <m/>
    <m/>
    <m/>
    <m/>
  </r>
  <r>
    <x v="5"/>
    <s v="Ai+ Pulse 1 (Blue, 64 GB)"/>
    <n v="7999"/>
    <x v="0"/>
    <m/>
    <m/>
    <m/>
    <m/>
  </r>
  <r>
    <x v="6"/>
    <s v="Jmax MINI"/>
    <n v="777"/>
    <x v="0"/>
    <m/>
    <m/>
    <m/>
    <m/>
  </r>
  <r>
    <x v="5"/>
    <s v="Ai+ Pulse 1 (Purple, 64 GB)"/>
    <n v="7999"/>
    <x v="0"/>
    <m/>
    <m/>
    <m/>
    <m/>
  </r>
  <r>
    <x v="1"/>
    <s v="MOTOROLA g57 power 5G (Pantone Corsair, 128 GB)"/>
    <n v="17999"/>
    <x v="1"/>
    <m/>
    <m/>
    <m/>
    <m/>
  </r>
  <r>
    <x v="7"/>
    <s v="itel it5262"/>
    <n v="1434"/>
    <x v="0"/>
    <m/>
    <m/>
    <m/>
    <m/>
  </r>
  <r>
    <x v="1"/>
    <s v="MOTOROLA Edge 70 Fusion (Pantone SILHOUETTE, 256 GB)"/>
    <n v="32999"/>
    <x v="0"/>
    <m/>
    <m/>
    <m/>
    <m/>
  </r>
  <r>
    <x v="0"/>
    <s v="POCO M7 Plus 5G (Chrome Silver, 128 GB)"/>
    <n v="15499"/>
    <x v="1"/>
    <m/>
    <m/>
    <m/>
    <m/>
  </r>
  <r>
    <x v="1"/>
    <s v="MOTOROLA g35 5G (Guava Red, 128 GB)"/>
    <n v="12499"/>
    <x v="1"/>
    <m/>
    <m/>
    <m/>
    <m/>
  </r>
  <r>
    <x v="2"/>
    <s v="REDMI A5 (Just Black, 64 GB)"/>
    <n v="8999"/>
    <x v="0"/>
    <m/>
    <m/>
    <m/>
    <m/>
  </r>
  <r>
    <x v="1"/>
    <s v="MOTOROLA Edge 60 Fusion 5G (PANTONE Mykonos Blue, 128 GB)"/>
    <n v="22999"/>
    <x v="1"/>
    <m/>
    <m/>
    <m/>
    <m/>
  </r>
  <r>
    <x v="8"/>
    <s v="Samsung Galaxy F70e 5G (Spotlight Blue, 128 GB)"/>
    <n v="14499"/>
    <x v="1"/>
    <m/>
    <m/>
    <m/>
    <m/>
  </r>
  <r>
    <x v="0"/>
    <s v="POCO M7 Plus 5G (Carbon Black, 128 GB)"/>
    <n v="16999"/>
    <x v="1"/>
    <m/>
    <m/>
    <m/>
    <m/>
  </r>
  <r>
    <x v="8"/>
    <s v="Samsung Galaxy F06 5G (Lit Violet, 128 GB)"/>
    <n v="12999"/>
    <x v="1"/>
    <m/>
    <m/>
    <m/>
    <m/>
  </r>
  <r>
    <x v="9"/>
    <s v="Nokia 105 Classic Single Sim Keypad Phone, Without Charger"/>
    <n v="1042"/>
    <x v="0"/>
    <m/>
    <m/>
    <m/>
    <m/>
  </r>
  <r>
    <x v="1"/>
    <s v="MOTOROLA g35 5G (Leaf Green, 128 GB)"/>
    <n v="15499"/>
    <x v="1"/>
    <m/>
    <m/>
    <m/>
    <m/>
  </r>
  <r>
    <x v="8"/>
    <s v="Samsung Galaxy F70e 5G (Spotlight Blue, 128 GB)"/>
    <n v="16499"/>
    <x v="1"/>
    <m/>
    <m/>
    <m/>
    <m/>
  </r>
  <r>
    <x v="1"/>
    <s v="MOTOROLA G96 5G (Pantone Ashleigh Blue, 128 GB)"/>
    <n v="20999"/>
    <x v="1"/>
    <m/>
    <m/>
    <m/>
    <m/>
  </r>
  <r>
    <x v="0"/>
    <s v="POCO C75 5G (Aqua Bliss, 64 GB)"/>
    <n v="10999"/>
    <x v="0"/>
    <m/>
    <m/>
    <m/>
    <m/>
  </r>
  <r>
    <x v="8"/>
    <s v="Samsung Galaxy F06 5G (Bahama Blue, 128 GB)"/>
    <n v="12999"/>
    <x v="1"/>
    <m/>
    <m/>
    <m/>
    <m/>
  </r>
  <r>
    <x v="5"/>
    <s v="Ai+ Pulse 2 (Blue, 64 GB)"/>
    <n v="8999"/>
    <x v="0"/>
    <m/>
    <m/>
    <m/>
    <m/>
  </r>
  <r>
    <x v="0"/>
    <s v="POCO C75 5G (Enchanted Green, 128 GB)"/>
    <n v="11499"/>
    <x v="1"/>
    <m/>
    <m/>
    <m/>
    <m/>
  </r>
  <r>
    <x v="3"/>
    <s v="realme P4 Lite (Sea Blue, 128 GB)"/>
    <n v="11999"/>
    <x v="1"/>
    <m/>
    <m/>
    <m/>
    <m/>
  </r>
  <r>
    <x v="2"/>
    <s v="REDMI Note 15 SE 5G (Crimson Reserve, 256 GB)"/>
    <n v="23999"/>
    <x v="0"/>
    <m/>
    <m/>
    <m/>
    <m/>
  </r>
  <r>
    <x v="8"/>
    <s v="Samsung Galaxy F06 5G (Lit Violet, 128 GB)"/>
    <n v="14999"/>
    <x v="1"/>
    <m/>
    <m/>
    <m/>
    <m/>
  </r>
  <r>
    <x v="7"/>
    <s v="itel it5330 | 2.8 inch Big Display | 1900 mAh Battery | Kingvoice"/>
    <n v="1579"/>
    <x v="0"/>
    <m/>
    <m/>
    <m/>
    <m/>
  </r>
  <r>
    <x v="8"/>
    <s v="Samsung Galaxy A07 LTE (Light Violet, 64 GB)"/>
    <n v="9960"/>
    <x v="0"/>
    <m/>
    <m/>
    <m/>
    <m/>
  </r>
  <r>
    <x v="1"/>
    <s v="MOTOROLA g67 power 5G (Pantone Cilantro, 128 GB)"/>
    <n v="18999"/>
    <x v="1"/>
    <m/>
    <m/>
    <m/>
    <m/>
  </r>
  <r>
    <x v="3"/>
    <s v="realme P4x 5G (Matte Silver, 256 GB)"/>
    <n v="20999"/>
    <x v="0"/>
    <m/>
    <m/>
    <m/>
    <m/>
  </r>
  <r>
    <x v="8"/>
    <s v="Samsung Galaxy F70e 5G (Limelight Green, 128 GB)"/>
    <n v="16499"/>
    <x v="1"/>
    <m/>
    <m/>
    <m/>
    <m/>
  </r>
  <r>
    <x v="0"/>
    <s v="POCO C85x (Elite Black, 128 GB)"/>
    <n v="12499"/>
    <x v="1"/>
    <m/>
    <m/>
    <m/>
    <m/>
  </r>
  <r>
    <x v="2"/>
    <s v="REDMI A4 (Sparkle Purple, 128 GB)"/>
    <n v="13989"/>
    <x v="1"/>
    <m/>
    <m/>
    <m/>
    <m/>
  </r>
  <r>
    <x v="0"/>
    <s v="POCO C85x (Emerald Green, 64 GB)"/>
    <n v="11499"/>
    <x v="0"/>
    <m/>
    <m/>
    <m/>
    <m/>
  </r>
  <r>
    <x v="1"/>
    <s v="MOTOROLA g67 power 5G (Pantone Parachute, 128 GB)"/>
    <n v="18999"/>
    <x v="1"/>
    <m/>
    <m/>
    <m/>
    <m/>
  </r>
  <r>
    <x v="2"/>
    <s v="REDMI A5 (Jaisalmer Gold, 64 GB)"/>
    <n v="8999"/>
    <x v="0"/>
    <m/>
    <m/>
    <m/>
    <m/>
  </r>
  <r>
    <x v="0"/>
    <s v="POCO C85x (Elite Black, 64 GB)"/>
    <n v="11499"/>
    <x v="0"/>
    <m/>
    <m/>
    <m/>
    <m/>
  </r>
  <r>
    <x v="0"/>
    <s v="POCO C85x (Emerald Green, 128 GB)"/>
    <n v="12499"/>
    <x v="1"/>
    <m/>
    <m/>
    <m/>
    <m/>
  </r>
  <r>
    <x v="3"/>
    <s v="realme P4 Lite 5G (Mosaic Green, 64 GB)"/>
    <n v="13499"/>
    <x v="0"/>
    <m/>
    <m/>
    <m/>
    <m/>
  </r>
  <r>
    <x v="2"/>
    <s v="REDMI Note 15 SE 5G (Crimson Reserve, 128 GB)"/>
    <n v="19999"/>
    <x v="1"/>
    <m/>
    <m/>
    <m/>
    <m/>
  </r>
  <r>
    <x v="4"/>
    <s v="ringme R1+ JUMBO"/>
    <n v="1599"/>
    <x v="0"/>
    <m/>
    <m/>
    <m/>
    <m/>
  </r>
  <r>
    <x v="0"/>
    <s v="POCO C85x (Sunset Gold, 64 GB)"/>
    <n v="11499"/>
    <x v="0"/>
    <m/>
    <m/>
    <m/>
    <m/>
  </r>
  <r>
    <x v="5"/>
    <s v="Ai+ Pulse 1 (Black, 64 GB)"/>
    <n v="7999"/>
    <x v="0"/>
    <m/>
    <m/>
    <m/>
    <m/>
  </r>
  <r>
    <x v="5"/>
    <s v="Ai+ Pulse 1 (Green, 64 GB)"/>
    <n v="7999"/>
    <x v="0"/>
    <m/>
    <m/>
    <m/>
    <m/>
  </r>
  <r>
    <x v="5"/>
    <s v="Ai+ Pulse 2 (Purple, 64 GB)"/>
    <n v="8999"/>
    <x v="0"/>
    <m/>
    <m/>
    <m/>
    <m/>
  </r>
  <r>
    <x v="1"/>
    <s v="MOTOROLA g06 power (Pantone tapestry, 64 GB)"/>
    <n v="9999"/>
    <x v="0"/>
    <m/>
    <m/>
    <m/>
    <m/>
  </r>
  <r>
    <x v="3"/>
    <s v="realme P4 Lite (Beach Gold, 128 GB)"/>
    <n v="11999"/>
    <x v="1"/>
    <m/>
    <m/>
    <m/>
    <m/>
  </r>
  <r>
    <x v="5"/>
    <s v="Ai+ Pulse 1 (Blue, 64 GB)"/>
    <n v="7999"/>
    <x v="0"/>
    <m/>
    <m/>
    <m/>
    <m/>
  </r>
  <r>
    <x v="6"/>
    <s v="Jmax MINI"/>
    <n v="777"/>
    <x v="0"/>
    <m/>
    <m/>
    <m/>
    <m/>
  </r>
  <r>
    <x v="5"/>
    <s v="Ai+ Pulse 1 (Purple, 64 GB)"/>
    <n v="7999"/>
    <x v="0"/>
    <m/>
    <m/>
    <m/>
    <m/>
  </r>
  <r>
    <x v="1"/>
    <s v="MOTOROLA g57 power 5G (Pantone Corsair, 128 GB)"/>
    <n v="17999"/>
    <x v="1"/>
    <m/>
    <m/>
    <m/>
    <m/>
  </r>
  <r>
    <x v="7"/>
    <s v="itel it5262"/>
    <n v="1434"/>
    <x v="0"/>
    <m/>
    <m/>
    <m/>
    <m/>
  </r>
  <r>
    <x v="1"/>
    <s v="MOTOROLA Edge 70 Fusion (Pantone SILHOUETTE, 256 GB)"/>
    <n v="32999"/>
    <x v="0"/>
    <m/>
    <m/>
    <m/>
    <m/>
  </r>
  <r>
    <x v="0"/>
    <s v="POCO M7 Plus 5G (Chrome Silver, 128 GB)"/>
    <n v="15499"/>
    <x v="1"/>
    <m/>
    <m/>
    <m/>
    <m/>
  </r>
  <r>
    <x v="10"/>
    <s v="Alcatel V3 Pro 5G (Matcha Green, 256 GB)"/>
    <n v="13999"/>
    <x v="0"/>
    <m/>
    <m/>
    <m/>
    <m/>
  </r>
  <r>
    <x v="8"/>
    <s v="Samsung Galaxy F07 (Green, 64 GB)"/>
    <n v="10399"/>
    <x v="0"/>
    <m/>
    <m/>
    <m/>
    <m/>
  </r>
  <r>
    <x v="11"/>
    <s v="LAVA A3 King"/>
    <n v="1194"/>
    <x v="0"/>
    <m/>
    <m/>
    <m/>
    <m/>
  </r>
  <r>
    <x v="6"/>
    <s v="Jmax Super 1"/>
    <n v="599"/>
    <x v="0"/>
    <m/>
    <m/>
    <m/>
    <m/>
  </r>
  <r>
    <x v="0"/>
    <s v="POCO C75 5G (Enchanted Green, 64 GB)"/>
    <n v="10999"/>
    <x v="0"/>
    <m/>
    <m/>
    <m/>
    <m/>
  </r>
  <r>
    <x v="0"/>
    <s v="POCO C71 (Cool Blue, 128 GB)"/>
    <n v="9999"/>
    <x v="1"/>
    <m/>
    <m/>
    <m/>
    <m/>
  </r>
  <r>
    <x v="9"/>
    <s v="Nokia 106 Single Sim Keypad Phone with Built-in UPI App, MP3 Player"/>
    <n v="1304"/>
    <x v="0"/>
    <m/>
    <m/>
    <m/>
    <m/>
  </r>
  <r>
    <x v="1"/>
    <s v="MOTOROLA G96 5G (Pantone Dresden Blue, 128 GB)"/>
    <n v="20999"/>
    <x v="1"/>
    <m/>
    <m/>
    <m/>
    <m/>
  </r>
  <r>
    <x v="0"/>
    <s v="POCO M7 Plus 5G (Chrome Silver, 128 GB)"/>
    <n v="16999"/>
    <x v="1"/>
    <m/>
    <m/>
    <m/>
    <m/>
  </r>
  <r>
    <x v="12"/>
    <s v="IQOO Z11x 5G (Prismatic Green, 128 GB)"/>
    <n v="21900"/>
    <x v="1"/>
    <m/>
    <m/>
    <m/>
    <m/>
  </r>
  <r>
    <x v="1"/>
    <s v="MOTOROLA Edge 70 Fusion (Pantone SILHOUETTE, 128 GB)"/>
    <n v="26999"/>
    <x v="1"/>
    <m/>
    <m/>
    <m/>
    <m/>
  </r>
  <r>
    <x v="8"/>
    <s v="Samsung Galaxy M07 (Black, 64 GB)"/>
    <n v="9581"/>
    <x v="0"/>
    <m/>
    <m/>
    <m/>
    <m/>
  </r>
  <r>
    <x v="9"/>
    <s v="Nokia 130 Music Dual Sim with Music Player, Dedicated Music Buttons"/>
    <n v="1994"/>
    <x v="0"/>
    <m/>
    <m/>
    <m/>
    <m/>
  </r>
  <r>
    <x v="3"/>
    <s v="realme Narzo 90x 5G (Maroon Red, 128 GB)"/>
    <n v="16649"/>
    <x v="1"/>
    <m/>
    <m/>
    <m/>
    <m/>
  </r>
  <r>
    <x v="5"/>
    <s v="Ai+ Pulse 2 (Pink, 128 GB)"/>
    <n v="9999"/>
    <x v="1"/>
    <m/>
    <m/>
    <m/>
    <m/>
  </r>
  <r>
    <x v="8"/>
    <s v="Samsung M36 5G (Velvet Black / Black, 128 GB)"/>
    <n v="17448"/>
    <x v="1"/>
    <m/>
    <m/>
    <m/>
    <m/>
  </r>
  <r>
    <x v="9"/>
    <s v="Nokia All-New 105 Single Sim Keypad Phone with Built-in UPI Payments"/>
    <n v="1349"/>
    <x v="0"/>
    <m/>
    <m/>
    <m/>
    <m/>
  </r>
  <r>
    <x v="1"/>
    <s v="MOTOROLA Edge 60 Fusion 5G (PANTONE Amazonite, 128 GB)"/>
    <n v="22999"/>
    <x v="1"/>
    <m/>
    <m/>
    <m/>
    <m/>
  </r>
  <r>
    <x v="13"/>
    <s v="Micromax X778"/>
    <n v="1342"/>
    <x v="0"/>
    <m/>
    <m/>
    <m/>
    <m/>
  </r>
  <r>
    <x v="8"/>
    <s v="Samsung Galaxy A07 LTE (Green, 64 GB)"/>
    <n v="9918"/>
    <x v="0"/>
    <m/>
    <m/>
    <m/>
    <m/>
  </r>
  <r>
    <x v="0"/>
    <s v="POCO C75 5G (Aqua Bliss, 128 GB)"/>
    <n v="11499"/>
    <x v="1"/>
    <m/>
    <m/>
    <m/>
    <m/>
  </r>
  <r>
    <x v="9"/>
    <s v="Nokia 130 Music Dual Sim with Music Player, Dedicated Music Buttons"/>
    <n v="1994"/>
    <x v="0"/>
    <m/>
    <m/>
    <m/>
    <m/>
  </r>
  <r>
    <x v="0"/>
    <s v="POCO M7 5G (Satin Black, 128 GB)"/>
    <n v="13499"/>
    <x v="1"/>
    <m/>
    <m/>
    <m/>
    <m/>
  </r>
  <r>
    <x v="8"/>
    <s v="Samsung M06 5G (Sage Green, 128 GB)"/>
    <n v="12155"/>
    <x v="1"/>
    <m/>
    <m/>
    <m/>
    <m/>
  </r>
  <r>
    <x v="3"/>
    <s v="realme P4 Lite 5G (Mosaic Blue, 64 GB)"/>
    <n v="13499"/>
    <x v="0"/>
    <m/>
    <m/>
    <m/>
    <m/>
  </r>
  <r>
    <x v="8"/>
    <s v="Samsung Galaxy F06 5G (Bahama Blue, 128 GB)"/>
    <n v="14999"/>
    <x v="1"/>
    <m/>
    <m/>
    <m/>
    <m/>
  </r>
  <r>
    <x v="0"/>
    <s v="POCO C85 5G (Power Black, 128 GB)"/>
    <n v="13999"/>
    <x v="1"/>
    <m/>
    <m/>
    <m/>
    <m/>
  </r>
  <r>
    <x v="5"/>
    <s v="Ai+ Pulse 1 (Sparkle Red, 128 GB)"/>
    <n v="9999"/>
    <x v="1"/>
    <m/>
    <m/>
    <m/>
    <m/>
  </r>
  <r>
    <x v="1"/>
    <s v="MOTOROLA G96 5G (Pantone Cattleya Orchid, 128 GB)"/>
    <n v="20999"/>
    <x v="1"/>
    <m/>
    <m/>
    <m/>
    <m/>
  </r>
  <r>
    <x v="14"/>
    <s v="vivo T5 Pro 5G (Cosmic Black, 128 GB)"/>
    <n v="29999"/>
    <x v="1"/>
    <m/>
    <m/>
    <m/>
    <m/>
  </r>
  <r>
    <x v="15"/>
    <s v="HOTLINE TIGER"/>
    <n v="599"/>
    <x v="0"/>
    <m/>
    <m/>
    <m/>
    <m/>
  </r>
  <r>
    <x v="9"/>
    <s v="Nokia All-New 105 Single Sim Keypad Phone with Built-in UPI Payments"/>
    <n v="1349"/>
    <x v="0"/>
    <m/>
    <m/>
    <m/>
    <m/>
  </r>
  <r>
    <x v="5"/>
    <s v="Ai+ Pulse 1 (Black, 128 GB)"/>
    <n v="9999"/>
    <x v="1"/>
    <m/>
    <m/>
    <m/>
    <m/>
  </r>
  <r>
    <x v="7"/>
    <s v="itel Ace 3 Shine"/>
    <n v="899"/>
    <x v="0"/>
    <m/>
    <m/>
    <m/>
    <m/>
  </r>
  <r>
    <x v="1"/>
    <s v="MOTOROLA g67 power 5G (Pantone Curacao Blue, 128 GB)"/>
    <n v="18999"/>
    <x v="1"/>
    <m/>
    <m/>
    <m/>
    <m/>
  </r>
  <r>
    <x v="9"/>
    <s v="Nokia 105 Classic Single Sim Keypad Phone, Charger in-Box"/>
    <n v="1399"/>
    <x v="0"/>
    <m/>
    <m/>
    <m/>
    <m/>
  </r>
  <r>
    <x v="0"/>
    <s v="POCO M7 5G (Ocean Blue, 128 GB)"/>
    <n v="13499"/>
    <x v="1"/>
    <m/>
    <m/>
    <m/>
    <m/>
  </r>
  <r>
    <x v="0"/>
    <s v="POCO M6 Plus 5G (Ice Silver, 128 GB)"/>
    <n v="14499"/>
    <x v="1"/>
    <m/>
    <m/>
    <m/>
    <m/>
  </r>
  <r>
    <x v="3"/>
    <s v="realme P4 Lite 5G (Mosaic Green, 128 GB)"/>
    <n v="14499"/>
    <x v="1"/>
    <m/>
    <m/>
    <m/>
    <m/>
  </r>
  <r>
    <x v="8"/>
    <s v="Samsung M36 5G (Light Green, 128 GB)"/>
    <n v="16900"/>
    <x v="1"/>
    <m/>
    <m/>
    <m/>
    <m/>
  </r>
  <r>
    <x v="16"/>
    <s v="OPPO K14x 5G (Icy Blue, 64 GB)"/>
    <n v="14999"/>
    <x v="0"/>
    <m/>
    <m/>
    <m/>
    <m/>
  </r>
  <r>
    <x v="0"/>
    <s v="POCO M7 Plus 5G (Carbon Black, 128 GB)"/>
    <n v="15499"/>
    <x v="1"/>
    <m/>
    <m/>
    <m/>
    <m/>
  </r>
  <r>
    <x v="1"/>
    <s v="MOTOROLA g06 power (Pantone Laurel Oak, 64 GB)"/>
    <n v="9999"/>
    <x v="0"/>
    <m/>
    <m/>
    <m/>
    <m/>
  </r>
  <r>
    <x v="17"/>
    <s v="GFive SHARK"/>
    <n v="749"/>
    <x v="0"/>
    <m/>
    <m/>
    <m/>
    <m/>
  </r>
  <r>
    <x v="5"/>
    <s v="Ai+ Nova 5G (Purple, 128 GB)"/>
    <n v="10999"/>
    <x v="1"/>
    <m/>
    <m/>
    <m/>
    <m/>
  </r>
  <r>
    <x v="7"/>
    <s v="itel it5330 | 2.8 inch Big Display | 1900 mAh Battery | Kingvoice"/>
    <n v="1579"/>
    <x v="0"/>
    <m/>
    <m/>
    <m/>
    <m/>
  </r>
  <r>
    <x v="18"/>
    <s v="Kechaoda A27"/>
    <n v="899"/>
    <x v="0"/>
    <m/>
    <m/>
    <m/>
    <m/>
  </r>
  <r>
    <x v="19"/>
    <s v="KARBONN K9 Jumbo,Dual Keypad Mobile,2.4 Big LCD,2MP Camera,1800mAh Battery,FM,Vibratore"/>
    <n v="1496"/>
    <x v="0"/>
    <m/>
    <m/>
    <m/>
    <m/>
  </r>
  <r>
    <x v="0"/>
    <s v="POCO C75 5G (Silver Stardust, 64 GB)"/>
    <n v="10999"/>
    <x v="0"/>
    <m/>
    <m/>
    <m/>
    <m/>
  </r>
  <r>
    <x v="2"/>
    <s v="REDMI Note 14 SE 5G (Titan Black, 128 GB)"/>
    <n v="16999"/>
    <x v="1"/>
    <m/>
    <m/>
    <m/>
    <m/>
  </r>
  <r>
    <x v="11"/>
    <s v="LAVA A3 Torch"/>
    <n v="1341"/>
    <x v="0"/>
    <m/>
    <m/>
    <m/>
    <m/>
  </r>
  <r>
    <x v="2"/>
    <s v="REDMI Note 15 SE 5G (Frosted White, 128 GB)"/>
    <n v="19999"/>
    <x v="1"/>
    <m/>
    <m/>
    <m/>
    <m/>
  </r>
  <r>
    <x v="20"/>
    <s v="Apple iPhone 17 (Black, 256 GB)"/>
    <n v="82900"/>
    <x v="0"/>
    <m/>
    <m/>
    <m/>
    <m/>
  </r>
  <r>
    <x v="11"/>
    <s v="LAVA A7 Torch+"/>
    <n v="1589"/>
    <x v="0"/>
    <m/>
    <m/>
    <m/>
    <m/>
  </r>
  <r>
    <x v="9"/>
    <s v="Nokia 106 Single Sim Keypad Phone with Built-in UPI App, MP3 Player"/>
    <n v="1304"/>
    <x v="0"/>
    <m/>
    <m/>
    <m/>
    <m/>
  </r>
  <r>
    <x v="1"/>
    <s v="MOTOROLA g06 power (Pantone Tendril, 64 GB)"/>
    <n v="9999"/>
    <x v="0"/>
    <m/>
    <m/>
    <m/>
    <m/>
  </r>
  <r>
    <x v="18"/>
    <s v="Kechaoda K115"/>
    <n v="997"/>
    <x v="0"/>
    <m/>
    <m/>
    <m/>
    <m/>
  </r>
  <r>
    <x v="5"/>
    <s v="Ai+ Pulse 2 (Green, 128 GB)"/>
    <n v="9999"/>
    <x v="1"/>
    <m/>
    <m/>
    <m/>
    <m/>
  </r>
  <r>
    <x v="0"/>
    <s v="POCO M8 (Carbon Black, 128 GB)"/>
    <n v="18999"/>
    <x v="1"/>
    <m/>
    <m/>
    <m/>
    <m/>
  </r>
  <r>
    <x v="15"/>
    <s v="HOTLINE Amaze H312"/>
    <n v="549"/>
    <x v="0"/>
    <m/>
    <m/>
    <m/>
    <m/>
  </r>
  <r>
    <x v="11"/>
    <s v="LAVA A1 Josh"/>
    <n v="1049"/>
    <x v="0"/>
    <m/>
    <m/>
    <m/>
    <m/>
  </r>
  <r>
    <x v="14"/>
    <s v="vivo T5 Pro 5G (Cosmic Black, 256 GB)"/>
    <n v="33999"/>
    <x v="0"/>
    <m/>
    <m/>
    <m/>
    <m/>
  </r>
  <r>
    <x v="11"/>
    <s v="LAVA A2 Smart"/>
    <n v="1286"/>
    <x v="0"/>
    <m/>
    <m/>
    <m/>
    <m/>
  </r>
  <r>
    <x v="0"/>
    <s v="POCO M7 Plus 5G (Aqua Blue, 128 GB)"/>
    <n v="17999"/>
    <x v="1"/>
    <m/>
    <m/>
    <m/>
    <m/>
  </r>
  <r>
    <x v="1"/>
    <s v="MOTOROLA Edge 70 Fusion (Pantone COUNTRY AIR, 128 GB)"/>
    <n v="26999"/>
    <x v="1"/>
    <m/>
    <m/>
    <m/>
    <m/>
  </r>
  <r>
    <x v="21"/>
    <s v="OnePlus Nord CE5 5G (Black Infinity, 128 GB)"/>
    <n v="28999"/>
    <x v="1"/>
    <m/>
    <m/>
    <m/>
    <m/>
  </r>
  <r>
    <x v="1"/>
    <s v="MOTOROLA Edge 60 Pro (Pantone Shadow, 512 GB)"/>
    <n v="37999"/>
    <x v="0"/>
    <m/>
    <m/>
    <m/>
    <m/>
  </r>
  <r>
    <x v="22"/>
    <s v="Nothing Phone (4a) (White, 256 GB)"/>
    <n v="37999"/>
    <x v="0"/>
    <m/>
    <m/>
    <m/>
    <m/>
  </r>
  <r>
    <x v="3"/>
    <s v="realme P4 Lite (Sea Blue, 64 GB)"/>
    <n v="9999"/>
    <x v="0"/>
    <m/>
    <m/>
    <m/>
    <m/>
  </r>
  <r>
    <x v="2"/>
    <s v="REDMI 15A (Ace Black, 64 GB)"/>
    <n v="13499"/>
    <x v="0"/>
    <m/>
    <m/>
    <m/>
    <m/>
  </r>
  <r>
    <x v="2"/>
    <s v="REDMI A5 (Pondicherry Blue, 64 GB)"/>
    <n v="8999"/>
    <x v="0"/>
    <m/>
    <m/>
    <m/>
    <m/>
  </r>
  <r>
    <x v="3"/>
    <s v="realme Narzo 80 Lite 5G (Onyx Black, 128 GB)"/>
    <n v="13999"/>
    <x v="1"/>
    <m/>
    <m/>
    <m/>
    <m/>
  </r>
  <r>
    <x v="3"/>
    <s v="realme P4 Lite (Sea Blue, 128 GB)"/>
    <n v="11999"/>
    <x v="1"/>
    <m/>
    <m/>
    <m/>
    <m/>
  </r>
  <r>
    <x v="20"/>
    <s v="Apple iPhone 15 (Black, 128 GB)"/>
    <n v="59900"/>
    <x v="1"/>
    <m/>
    <m/>
    <m/>
    <m/>
  </r>
  <r>
    <x v="3"/>
    <s v="realme P4x 5G (Lake Green, 256 GB)"/>
    <n v="20999"/>
    <x v="0"/>
    <m/>
    <m/>
    <m/>
    <m/>
  </r>
  <r>
    <x v="18"/>
    <s v="Kechaoda K115"/>
    <n v="999"/>
    <x v="0"/>
    <m/>
    <m/>
    <m/>
    <m/>
  </r>
  <r>
    <x v="0"/>
    <s v="POCO C85x (Elite Black, 128 GB)"/>
    <n v="12499"/>
    <x v="1"/>
    <m/>
    <m/>
    <m/>
    <m/>
  </r>
  <r>
    <x v="0"/>
    <s v="POCO M7 Plus 5G (Carbon Black, 128 GB)"/>
    <n v="16999"/>
    <x v="1"/>
    <m/>
    <m/>
    <m/>
    <m/>
  </r>
  <r>
    <x v="1"/>
    <s v="MOTOROLA Edge 70 Fusion (Pantone COUNTRY AIR, 256 GB)"/>
    <n v="32999"/>
    <x v="0"/>
    <m/>
    <m/>
    <m/>
    <m/>
  </r>
  <r>
    <x v="1"/>
    <s v="MOTOROLA Moto A100"/>
    <n v="1046"/>
    <x v="0"/>
    <m/>
    <m/>
    <m/>
    <m/>
  </r>
  <r>
    <x v="0"/>
    <s v="POCO C71 (Cool Blue, 128 GB)"/>
    <n v="9999"/>
    <x v="1"/>
    <m/>
    <m/>
    <m/>
    <m/>
  </r>
  <r>
    <x v="20"/>
    <s v="Apple iPhone 16 (White, 128 GB)"/>
    <n v="69900"/>
    <x v="1"/>
    <m/>
    <m/>
    <m/>
    <m/>
  </r>
  <r>
    <x v="14"/>
    <s v="vivo T4x 5G (Marine Blue, 128 GB)"/>
    <n v="16999"/>
    <x v="1"/>
    <m/>
    <m/>
    <m/>
    <m/>
  </r>
  <r>
    <x v="14"/>
    <s v="vivo Y19e (Majestic Green, 64 GB)"/>
    <n v="11844"/>
    <x v="0"/>
    <m/>
    <m/>
    <m/>
    <m/>
  </r>
  <r>
    <x v="9"/>
    <s v="Nokia 130 Music Dual Sim with Music Player, Dedicated Music Buttons"/>
    <n v="1994"/>
    <x v="0"/>
    <m/>
    <m/>
    <m/>
    <m/>
  </r>
  <r>
    <x v="0"/>
    <s v="POCO M7 Plus 5G (Aqua Blue, 128 GB)"/>
    <n v="15499"/>
    <x v="1"/>
    <m/>
    <m/>
    <m/>
    <m/>
  </r>
  <r>
    <x v="0"/>
    <s v="POCO C75 5G (Aqua Bliss, 128 GB)"/>
    <n v="11499"/>
    <x v="1"/>
    <m/>
    <m/>
    <m/>
    <m/>
  </r>
  <r>
    <x v="15"/>
    <s v="HOTLINE ROYAL"/>
    <n v="480"/>
    <x v="0"/>
    <m/>
    <m/>
    <m/>
    <m/>
  </r>
  <r>
    <x v="2"/>
    <s v="REDMI Note 15 SE 5G (Carbon Black, 128 GB)"/>
    <n v="21999"/>
    <x v="1"/>
    <m/>
    <m/>
    <m/>
    <m/>
  </r>
  <r>
    <x v="14"/>
    <s v="vivo T4 5G (Phantom Grey, 256 GB)"/>
    <n v="28999"/>
    <x v="0"/>
    <m/>
    <m/>
    <m/>
    <m/>
  </r>
  <r>
    <x v="16"/>
    <s v="OPPO K14 5G (Prism Violet, 256 GB)"/>
    <n v="21999"/>
    <x v="0"/>
    <m/>
    <m/>
    <m/>
    <m/>
  </r>
  <r>
    <x v="16"/>
    <s v="OPPO K14 5G (Prism White, 256 GB)"/>
    <n v="21999"/>
    <x v="0"/>
    <m/>
    <m/>
    <m/>
    <m/>
  </r>
  <r>
    <x v="1"/>
    <s v="MOTOROLA Edge 70 Fusion (Pantone BLUE SURF, 256 GB)"/>
    <n v="29999"/>
    <x v="0"/>
    <m/>
    <m/>
    <m/>
    <m/>
  </r>
  <r>
    <x v="23"/>
    <s v="G'Five SHARK 3"/>
    <n v="599"/>
    <x v="0"/>
    <m/>
    <m/>
    <m/>
    <m/>
  </r>
  <r>
    <x v="1"/>
    <s v="MOTOROLA Edge 60 Pro (Pantone Walnut, 256 GB)"/>
    <n v="29999"/>
    <x v="0"/>
    <m/>
    <m/>
    <m/>
    <m/>
  </r>
  <r>
    <x v="14"/>
    <s v="vivo T4 5G (Phantom Grey, 256 GB)"/>
    <n v="26999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56837-DF10-42E1-887F-36741E5F65A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8" firstHeaderRow="1" firstDataRow="1" firstDataCol="1"/>
  <pivotFields count="8">
    <pivotField axis="axisRow" dataField="1" showAll="0" sortType="ascending">
      <items count="25">
        <item x="5"/>
        <item x="10"/>
        <item x="20"/>
        <item x="17"/>
        <item x="23"/>
        <item x="15"/>
        <item x="12"/>
        <item x="7"/>
        <item x="6"/>
        <item x="19"/>
        <item x="18"/>
        <item x="11"/>
        <item x="13"/>
        <item x="1"/>
        <item x="9"/>
        <item x="22"/>
        <item x="21"/>
        <item x="16"/>
        <item x="0"/>
        <item x="3"/>
        <item x="2"/>
        <item x="4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 v="6"/>
    </i>
    <i>
      <x v="16"/>
    </i>
    <i>
      <x v="15"/>
    </i>
    <i>
      <x v="1"/>
    </i>
    <i>
      <x v="4"/>
    </i>
    <i>
      <x v="9"/>
    </i>
    <i>
      <x v="3"/>
    </i>
    <i>
      <x v="12"/>
    </i>
    <i>
      <x v="21"/>
    </i>
    <i>
      <x v="8"/>
    </i>
    <i>
      <x v="2"/>
    </i>
    <i>
      <x v="10"/>
    </i>
    <i>
      <x v="5"/>
    </i>
    <i>
      <x v="17"/>
    </i>
    <i>
      <x v="11"/>
    </i>
    <i>
      <x v="7"/>
    </i>
    <i>
      <x v="23"/>
    </i>
    <i>
      <x v="14"/>
    </i>
    <i>
      <x v="20"/>
    </i>
    <i>
      <x v="19"/>
    </i>
    <i>
      <x v="22"/>
    </i>
    <i>
      <x/>
    </i>
    <i>
      <x v="13"/>
    </i>
    <i>
      <x v="18"/>
    </i>
    <i t="grand">
      <x/>
    </i>
  </rowItems>
  <colItems count="1">
    <i/>
  </colItems>
  <dataFields count="1">
    <dataField name="Count of Bran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5E369-C47D-45F3-AEFF-FA615CC6DE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 rowHeaderCaption="Brand">
  <location ref="A3:B28" firstHeaderRow="1" firstDataRow="1" firstDataCol="1"/>
  <pivotFields count="8">
    <pivotField axis="axisRow" showAll="0" sortType="descending">
      <items count="25">
        <item x="14"/>
        <item x="8"/>
        <item x="4"/>
        <item x="2"/>
        <item x="3"/>
        <item x="0"/>
        <item x="16"/>
        <item x="21"/>
        <item x="22"/>
        <item x="9"/>
        <item x="1"/>
        <item x="13"/>
        <item x="11"/>
        <item x="18"/>
        <item x="19"/>
        <item x="6"/>
        <item x="7"/>
        <item x="12"/>
        <item x="15"/>
        <item x="23"/>
        <item x="17"/>
        <item x="20"/>
        <item x="1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 v="21"/>
    </i>
    <i>
      <x v="8"/>
    </i>
    <i>
      <x v="7"/>
    </i>
    <i>
      <x/>
    </i>
    <i>
      <x v="17"/>
    </i>
    <i>
      <x v="10"/>
    </i>
    <i>
      <x v="6"/>
    </i>
    <i>
      <x v="3"/>
    </i>
    <i>
      <x v="4"/>
    </i>
    <i>
      <x v="22"/>
    </i>
    <i>
      <x v="1"/>
    </i>
    <i>
      <x v="5"/>
    </i>
    <i>
      <x v="23"/>
    </i>
    <i>
      <x v="2"/>
    </i>
    <i>
      <x v="9"/>
    </i>
    <i>
      <x v="14"/>
    </i>
    <i>
      <x v="16"/>
    </i>
    <i>
      <x v="11"/>
    </i>
    <i>
      <x v="12"/>
    </i>
    <i>
      <x v="13"/>
    </i>
    <i>
      <x v="20"/>
    </i>
    <i>
      <x v="15"/>
    </i>
    <i>
      <x v="19"/>
    </i>
    <i>
      <x v="18"/>
    </i>
    <i t="grand">
      <x/>
    </i>
  </rowItems>
  <colItems count="1">
    <i/>
  </colItems>
  <dataFields count="1">
    <dataField name="Average Price" fld="2" subtotal="average" baseField="0" baseItem="0" numFmtId="2"/>
  </dataFields>
  <formats count="1">
    <format dxfId="2">
      <pivotArea outline="0" collapsedLevelsAreSubtotals="1" fieldPosition="0"/>
    </format>
  </formats>
  <chartFormats count="1"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F8509-1A57-4CAD-B2C1-28B1738C9A3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Storage">
  <location ref="A3:B6" firstHeaderRow="1" firstDataRow="1" firstDataCol="1"/>
  <pivotFields count="8"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Price" fld="2" subtotal="average" baseField="3" baseItem="0" numFmtId="2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B8B9-0B4A-44F3-ABA3-930EF67B1588}">
  <dimension ref="A1:J38"/>
  <sheetViews>
    <sheetView showGridLines="0" zoomScale="69" workbookViewId="0">
      <selection activeCell="Q30" sqref="Q30"/>
    </sheetView>
  </sheetViews>
  <sheetFormatPr defaultRowHeight="14.5" x14ac:dyDescent="0.35"/>
  <cols>
    <col min="1" max="1" width="13.54296875" bestFit="1" customWidth="1"/>
    <col min="2" max="2" width="13.36328125" bestFit="1" customWidth="1"/>
  </cols>
  <sheetData>
    <row r="1" spans="1:3" s="20" customFormat="1" ht="21" x14ac:dyDescent="0.5">
      <c r="A1" s="25" t="s">
        <v>166</v>
      </c>
      <c r="B1" s="25"/>
      <c r="C1" s="25"/>
    </row>
    <row r="3" spans="1:3" x14ac:dyDescent="0.35">
      <c r="A3" s="5" t="s">
        <v>155</v>
      </c>
      <c r="B3" t="s">
        <v>157</v>
      </c>
    </row>
    <row r="4" spans="1:3" x14ac:dyDescent="0.35">
      <c r="A4" s="2" t="s">
        <v>138</v>
      </c>
      <c r="B4" s="26">
        <v>1</v>
      </c>
    </row>
    <row r="5" spans="1:3" x14ac:dyDescent="0.35">
      <c r="A5" s="2" t="s">
        <v>147</v>
      </c>
      <c r="B5" s="26">
        <v>1</v>
      </c>
    </row>
    <row r="6" spans="1:3" x14ac:dyDescent="0.35">
      <c r="A6" s="2" t="s">
        <v>148</v>
      </c>
      <c r="B6" s="26">
        <v>1</v>
      </c>
    </row>
    <row r="7" spans="1:3" x14ac:dyDescent="0.35">
      <c r="A7" s="2" t="s">
        <v>136</v>
      </c>
      <c r="B7" s="26">
        <v>1</v>
      </c>
    </row>
    <row r="8" spans="1:3" x14ac:dyDescent="0.35">
      <c r="A8" s="2" t="s">
        <v>149</v>
      </c>
      <c r="B8" s="26">
        <v>1</v>
      </c>
    </row>
    <row r="9" spans="1:3" x14ac:dyDescent="0.35">
      <c r="A9" s="2" t="s">
        <v>145</v>
      </c>
      <c r="B9" s="26">
        <v>1</v>
      </c>
    </row>
    <row r="10" spans="1:3" x14ac:dyDescent="0.35">
      <c r="A10" s="2" t="s">
        <v>143</v>
      </c>
      <c r="B10" s="26">
        <v>1</v>
      </c>
    </row>
    <row r="11" spans="1:3" x14ac:dyDescent="0.35">
      <c r="A11" s="2" t="s">
        <v>139</v>
      </c>
      <c r="B11" s="26">
        <v>1</v>
      </c>
    </row>
    <row r="12" spans="1:3" x14ac:dyDescent="0.35">
      <c r="A12" s="2" t="s">
        <v>130</v>
      </c>
      <c r="B12" s="26">
        <v>2</v>
      </c>
    </row>
    <row r="13" spans="1:3" x14ac:dyDescent="0.35">
      <c r="A13" s="2" t="s">
        <v>132</v>
      </c>
      <c r="B13" s="26">
        <v>3</v>
      </c>
    </row>
    <row r="14" spans="1:3" x14ac:dyDescent="0.35">
      <c r="A14" s="2" t="s">
        <v>146</v>
      </c>
      <c r="B14" s="26">
        <v>3</v>
      </c>
    </row>
    <row r="15" spans="1:3" x14ac:dyDescent="0.35">
      <c r="A15" s="2" t="s">
        <v>144</v>
      </c>
      <c r="B15" s="26">
        <v>3</v>
      </c>
    </row>
    <row r="16" spans="1:3" x14ac:dyDescent="0.35">
      <c r="A16" s="2" t="s">
        <v>141</v>
      </c>
      <c r="B16" s="26">
        <v>3</v>
      </c>
    </row>
    <row r="17" spans="1:10" x14ac:dyDescent="0.35">
      <c r="A17" s="2" t="s">
        <v>142</v>
      </c>
      <c r="B17" s="26">
        <v>3</v>
      </c>
    </row>
    <row r="18" spans="1:10" x14ac:dyDescent="0.35">
      <c r="A18" s="2" t="s">
        <v>137</v>
      </c>
      <c r="B18" s="26">
        <v>5</v>
      </c>
    </row>
    <row r="19" spans="1:10" x14ac:dyDescent="0.35">
      <c r="A19" s="2" t="s">
        <v>133</v>
      </c>
      <c r="B19" s="26">
        <v>5</v>
      </c>
    </row>
    <row r="20" spans="1:10" x14ac:dyDescent="0.35">
      <c r="A20" s="2" t="s">
        <v>140</v>
      </c>
      <c r="B20" s="26">
        <v>6</v>
      </c>
    </row>
    <row r="21" spans="1:10" x14ac:dyDescent="0.35">
      <c r="A21" s="2" t="s">
        <v>135</v>
      </c>
      <c r="B21" s="26">
        <v>9</v>
      </c>
    </row>
    <row r="22" spans="1:10" x14ac:dyDescent="0.35">
      <c r="A22" s="2" t="s">
        <v>128</v>
      </c>
      <c r="B22" s="26">
        <v>12</v>
      </c>
    </row>
    <row r="23" spans="1:10" x14ac:dyDescent="0.35">
      <c r="A23" s="2" t="s">
        <v>129</v>
      </c>
      <c r="B23" s="26">
        <v>13</v>
      </c>
    </row>
    <row r="24" spans="1:10" x14ac:dyDescent="0.35">
      <c r="A24" s="2" t="s">
        <v>134</v>
      </c>
      <c r="B24" s="26">
        <v>14</v>
      </c>
    </row>
    <row r="25" spans="1:10" x14ac:dyDescent="0.35">
      <c r="A25" s="2" t="s">
        <v>131</v>
      </c>
      <c r="B25" s="26">
        <v>16</v>
      </c>
    </row>
    <row r="26" spans="1:10" x14ac:dyDescent="0.35">
      <c r="A26" s="2" t="s">
        <v>127</v>
      </c>
      <c r="B26" s="26">
        <v>26</v>
      </c>
    </row>
    <row r="27" spans="1:10" x14ac:dyDescent="0.35">
      <c r="A27" s="2" t="s">
        <v>126</v>
      </c>
      <c r="B27" s="26">
        <v>31</v>
      </c>
    </row>
    <row r="28" spans="1:10" x14ac:dyDescent="0.35">
      <c r="A28" s="2" t="s">
        <v>156</v>
      </c>
      <c r="B28" s="26">
        <v>162</v>
      </c>
    </row>
    <row r="32" spans="1:10" ht="18.5" x14ac:dyDescent="0.45">
      <c r="A32" s="14" t="s">
        <v>162</v>
      </c>
      <c r="B32" s="7"/>
      <c r="C32" s="7"/>
      <c r="D32" s="7"/>
      <c r="E32" s="7"/>
      <c r="F32" s="7"/>
      <c r="G32" s="7"/>
      <c r="H32" s="7"/>
      <c r="I32" s="7"/>
      <c r="J32" s="8"/>
    </row>
    <row r="33" spans="1:10" ht="18.5" x14ac:dyDescent="0.45">
      <c r="A33" s="15" t="s">
        <v>163</v>
      </c>
      <c r="B33" s="16"/>
      <c r="C33" s="16"/>
      <c r="D33" s="16"/>
      <c r="E33" s="16"/>
      <c r="F33" s="16"/>
      <c r="G33" s="16"/>
      <c r="H33" s="16"/>
      <c r="I33" s="17"/>
      <c r="J33" s="18"/>
    </row>
    <row r="34" spans="1:10" x14ac:dyDescent="0.35">
      <c r="A34" s="9"/>
      <c r="J34" s="10"/>
    </row>
    <row r="35" spans="1:10" x14ac:dyDescent="0.35">
      <c r="A35" s="9"/>
      <c r="J35" s="10"/>
    </row>
    <row r="36" spans="1:10" x14ac:dyDescent="0.35">
      <c r="A36" s="9"/>
      <c r="J36" s="10"/>
    </row>
    <row r="37" spans="1:10" x14ac:dyDescent="0.35">
      <c r="A37" s="9"/>
      <c r="J37" s="10"/>
    </row>
    <row r="38" spans="1:10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3"/>
    </row>
  </sheetData>
  <mergeCells count="1">
    <mergeCell ref="A1:C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CE00-3883-443D-BAAA-924A7B9010F4}">
  <dimension ref="A1:J38"/>
  <sheetViews>
    <sheetView showGridLines="0" zoomScale="76" zoomScaleNormal="55" workbookViewId="0">
      <selection activeCell="P29" sqref="P29"/>
    </sheetView>
  </sheetViews>
  <sheetFormatPr defaultRowHeight="14.5" x14ac:dyDescent="0.35"/>
  <cols>
    <col min="1" max="1" width="10.7265625" bestFit="1" customWidth="1"/>
    <col min="2" max="2" width="12.54296875" style="6" bestFit="1" customWidth="1"/>
  </cols>
  <sheetData>
    <row r="1" spans="1:3" ht="21" x14ac:dyDescent="0.35">
      <c r="A1" s="21" t="s">
        <v>167</v>
      </c>
      <c r="B1" s="24"/>
      <c r="C1" s="23"/>
    </row>
    <row r="3" spans="1:3" x14ac:dyDescent="0.35">
      <c r="A3" s="5" t="s">
        <v>125</v>
      </c>
      <c r="B3" t="s">
        <v>159</v>
      </c>
    </row>
    <row r="4" spans="1:3" x14ac:dyDescent="0.35">
      <c r="A4" s="2" t="s">
        <v>146</v>
      </c>
      <c r="B4" s="6">
        <v>70900</v>
      </c>
    </row>
    <row r="5" spans="1:3" x14ac:dyDescent="0.35">
      <c r="A5" s="2" t="s">
        <v>148</v>
      </c>
      <c r="B5" s="6">
        <v>37999</v>
      </c>
    </row>
    <row r="6" spans="1:3" x14ac:dyDescent="0.35">
      <c r="A6" s="2" t="s">
        <v>147</v>
      </c>
      <c r="B6" s="6">
        <v>28999</v>
      </c>
    </row>
    <row r="7" spans="1:3" x14ac:dyDescent="0.35">
      <c r="A7" s="2" t="s">
        <v>140</v>
      </c>
      <c r="B7" s="6">
        <v>24806.5</v>
      </c>
    </row>
    <row r="8" spans="1:3" x14ac:dyDescent="0.35">
      <c r="A8" s="2" t="s">
        <v>138</v>
      </c>
      <c r="B8" s="6">
        <v>21900</v>
      </c>
    </row>
    <row r="9" spans="1:3" x14ac:dyDescent="0.35">
      <c r="A9" s="2" t="s">
        <v>127</v>
      </c>
      <c r="B9" s="6">
        <v>20808.5</v>
      </c>
    </row>
    <row r="10" spans="1:3" x14ac:dyDescent="0.35">
      <c r="A10" s="2" t="s">
        <v>142</v>
      </c>
      <c r="B10" s="6">
        <v>19665.666666666668</v>
      </c>
    </row>
    <row r="11" spans="1:3" x14ac:dyDescent="0.35">
      <c r="A11" s="2" t="s">
        <v>128</v>
      </c>
      <c r="B11" s="6">
        <v>15539.833333333334</v>
      </c>
    </row>
    <row r="12" spans="1:3" x14ac:dyDescent="0.35">
      <c r="A12" s="2" t="s">
        <v>129</v>
      </c>
      <c r="B12" s="6">
        <v>14279.76923076923</v>
      </c>
    </row>
    <row r="13" spans="1:3" x14ac:dyDescent="0.35">
      <c r="A13" s="2" t="s">
        <v>136</v>
      </c>
      <c r="B13" s="6">
        <v>13999</v>
      </c>
    </row>
    <row r="14" spans="1:3" x14ac:dyDescent="0.35">
      <c r="A14" s="2" t="s">
        <v>134</v>
      </c>
      <c r="B14" s="6">
        <v>13561</v>
      </c>
    </row>
    <row r="15" spans="1:3" x14ac:dyDescent="0.35">
      <c r="A15" s="2" t="s">
        <v>126</v>
      </c>
      <c r="B15" s="6">
        <v>13289.322580645161</v>
      </c>
    </row>
    <row r="16" spans="1:3" x14ac:dyDescent="0.35">
      <c r="A16" s="2" t="s">
        <v>131</v>
      </c>
      <c r="B16" s="6">
        <v>8874</v>
      </c>
    </row>
    <row r="17" spans="1:10" x14ac:dyDescent="0.35">
      <c r="A17" s="2" t="s">
        <v>130</v>
      </c>
      <c r="B17" s="6">
        <v>1599</v>
      </c>
    </row>
    <row r="18" spans="1:10" x14ac:dyDescent="0.35">
      <c r="A18" s="2" t="s">
        <v>135</v>
      </c>
      <c r="B18" s="6">
        <v>1525.4444444444443</v>
      </c>
    </row>
    <row r="19" spans="1:10" x14ac:dyDescent="0.35">
      <c r="A19" s="2" t="s">
        <v>145</v>
      </c>
      <c r="B19" s="6">
        <v>1496</v>
      </c>
    </row>
    <row r="20" spans="1:10" x14ac:dyDescent="0.35">
      <c r="A20" s="2" t="s">
        <v>133</v>
      </c>
      <c r="B20" s="6">
        <v>1385</v>
      </c>
    </row>
    <row r="21" spans="1:10" x14ac:dyDescent="0.35">
      <c r="A21" s="2" t="s">
        <v>139</v>
      </c>
      <c r="B21" s="6">
        <v>1342</v>
      </c>
    </row>
    <row r="22" spans="1:10" x14ac:dyDescent="0.35">
      <c r="A22" s="2" t="s">
        <v>137</v>
      </c>
      <c r="B22" s="6">
        <v>1291.8</v>
      </c>
    </row>
    <row r="23" spans="1:10" x14ac:dyDescent="0.35">
      <c r="A23" s="2" t="s">
        <v>144</v>
      </c>
      <c r="B23" s="6">
        <v>965</v>
      </c>
    </row>
    <row r="24" spans="1:10" x14ac:dyDescent="0.35">
      <c r="A24" s="2" t="s">
        <v>143</v>
      </c>
      <c r="B24" s="6">
        <v>749</v>
      </c>
    </row>
    <row r="25" spans="1:10" x14ac:dyDescent="0.35">
      <c r="A25" s="2" t="s">
        <v>132</v>
      </c>
      <c r="B25" s="6">
        <v>717.66666666666663</v>
      </c>
    </row>
    <row r="26" spans="1:10" x14ac:dyDescent="0.35">
      <c r="A26" s="2" t="s">
        <v>149</v>
      </c>
      <c r="B26" s="6">
        <v>599</v>
      </c>
    </row>
    <row r="27" spans="1:10" x14ac:dyDescent="0.35">
      <c r="A27" s="2" t="s">
        <v>141</v>
      </c>
      <c r="B27" s="6">
        <v>542.66666666666663</v>
      </c>
    </row>
    <row r="28" spans="1:10" x14ac:dyDescent="0.35">
      <c r="A28" s="2" t="s">
        <v>156</v>
      </c>
      <c r="B28" s="6">
        <v>13713.265432098766</v>
      </c>
    </row>
    <row r="32" spans="1:10" ht="18.5" x14ac:dyDescent="0.45">
      <c r="A32" s="14" t="s">
        <v>162</v>
      </c>
      <c r="B32" s="7"/>
      <c r="C32" s="7"/>
      <c r="D32" s="7"/>
      <c r="E32" s="7"/>
      <c r="F32" s="7"/>
      <c r="G32" s="7"/>
      <c r="H32" s="7"/>
      <c r="I32" s="7"/>
      <c r="J32" s="8"/>
    </row>
    <row r="33" spans="1:10" s="17" customFormat="1" ht="18.5" x14ac:dyDescent="0.45">
      <c r="A33" s="15" t="s">
        <v>164</v>
      </c>
      <c r="B33" s="16"/>
      <c r="C33" s="16"/>
      <c r="D33" s="16"/>
      <c r="E33" s="16"/>
      <c r="F33" s="16"/>
      <c r="G33" s="16"/>
      <c r="H33" s="16"/>
      <c r="J33" s="18"/>
    </row>
    <row r="34" spans="1:10" x14ac:dyDescent="0.35">
      <c r="A34" s="9"/>
      <c r="B34"/>
      <c r="J34" s="10"/>
    </row>
    <row r="35" spans="1:10" x14ac:dyDescent="0.35">
      <c r="A35" s="9"/>
      <c r="B35"/>
      <c r="J35" s="10"/>
    </row>
    <row r="36" spans="1:10" x14ac:dyDescent="0.35">
      <c r="A36" s="9"/>
      <c r="B36"/>
      <c r="J36" s="10"/>
    </row>
    <row r="37" spans="1:10" x14ac:dyDescent="0.35">
      <c r="A37" s="9"/>
      <c r="B37"/>
      <c r="J37" s="10"/>
    </row>
    <row r="38" spans="1:10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259F-BA28-4B77-A703-069090612387}">
  <dimension ref="A1:M16"/>
  <sheetViews>
    <sheetView showGridLines="0" zoomScale="73" workbookViewId="0">
      <selection activeCell="H6" sqref="H6"/>
    </sheetView>
  </sheetViews>
  <sheetFormatPr defaultRowHeight="14.5" x14ac:dyDescent="0.35"/>
  <cols>
    <col min="1" max="1" width="10.36328125" bestFit="1" customWidth="1"/>
    <col min="2" max="2" width="14.08984375" style="6" bestFit="1" customWidth="1"/>
    <col min="3" max="3" width="18.6328125" bestFit="1" customWidth="1"/>
  </cols>
  <sheetData>
    <row r="1" spans="1:13" ht="21" x14ac:dyDescent="0.35">
      <c r="A1" s="21" t="s">
        <v>168</v>
      </c>
      <c r="B1" s="22"/>
      <c r="C1" s="23"/>
    </row>
    <row r="3" spans="1:13" x14ac:dyDescent="0.35">
      <c r="A3" s="5" t="s">
        <v>150</v>
      </c>
      <c r="B3" s="6" t="s">
        <v>158</v>
      </c>
    </row>
    <row r="4" spans="1:13" x14ac:dyDescent="0.35">
      <c r="A4" s="2" t="s">
        <v>160</v>
      </c>
      <c r="B4" s="6">
        <v>17574.338028169015</v>
      </c>
    </row>
    <row r="5" spans="1:13" x14ac:dyDescent="0.35">
      <c r="A5" s="2" t="s">
        <v>161</v>
      </c>
      <c r="B5" s="6">
        <v>10700.780219780219</v>
      </c>
    </row>
    <row r="6" spans="1:13" x14ac:dyDescent="0.35">
      <c r="A6" s="2" t="s">
        <v>156</v>
      </c>
      <c r="B6" s="6">
        <v>13713.265432098766</v>
      </c>
    </row>
    <row r="10" spans="1:13" ht="18.5" x14ac:dyDescent="0.45">
      <c r="A10" s="14" t="s">
        <v>162</v>
      </c>
      <c r="B10" s="7"/>
      <c r="C10" s="7"/>
      <c r="D10" s="7"/>
      <c r="E10" s="7"/>
      <c r="F10" s="7"/>
      <c r="G10" s="7"/>
      <c r="H10" s="7"/>
      <c r="I10" s="7"/>
      <c r="J10" s="8"/>
      <c r="M10" s="17"/>
    </row>
    <row r="11" spans="1:13" s="17" customFormat="1" ht="18.5" x14ac:dyDescent="0.45">
      <c r="A11" s="15" t="s">
        <v>165</v>
      </c>
      <c r="B11" s="16"/>
      <c r="C11" s="16"/>
      <c r="D11" s="16"/>
      <c r="E11" s="16"/>
      <c r="F11" s="16"/>
      <c r="G11" s="16"/>
      <c r="H11" s="16"/>
      <c r="J11" s="18"/>
    </row>
    <row r="12" spans="1:13" x14ac:dyDescent="0.35">
      <c r="A12" s="9"/>
      <c r="B12"/>
      <c r="J12" s="10"/>
    </row>
    <row r="13" spans="1:13" x14ac:dyDescent="0.35">
      <c r="A13" s="9"/>
      <c r="B13"/>
      <c r="J13" s="10"/>
    </row>
    <row r="14" spans="1:13" x14ac:dyDescent="0.35">
      <c r="A14" s="9"/>
      <c r="B14"/>
      <c r="J14" s="10"/>
    </row>
    <row r="15" spans="1:13" x14ac:dyDescent="0.35">
      <c r="A15" s="9"/>
      <c r="B15"/>
      <c r="J15" s="10"/>
    </row>
    <row r="16" spans="1:13" x14ac:dyDescent="0.35">
      <c r="A16" s="11"/>
      <c r="B16" s="12"/>
      <c r="C16" s="12"/>
      <c r="D16" s="12"/>
      <c r="E16" s="12"/>
      <c r="F16" s="12"/>
      <c r="G16" s="12"/>
      <c r="H16" s="12"/>
      <c r="I16" s="12"/>
      <c r="J16" s="1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79CA-EE11-415E-B5F6-2ED581230BAD}">
  <dimension ref="A1:E10"/>
  <sheetViews>
    <sheetView showGridLines="0" workbookViewId="0">
      <selection activeCell="N23" sqref="N23"/>
    </sheetView>
  </sheetViews>
  <sheetFormatPr defaultRowHeight="14.5" x14ac:dyDescent="0.35"/>
  <sheetData>
    <row r="1" spans="1:5" ht="21" x14ac:dyDescent="0.5">
      <c r="A1" s="19"/>
      <c r="B1" s="19"/>
    </row>
    <row r="3" spans="1:5" ht="18.5" x14ac:dyDescent="0.45">
      <c r="A3" s="16" t="s">
        <v>169</v>
      </c>
    </row>
    <row r="5" spans="1:5" ht="18.5" x14ac:dyDescent="0.45">
      <c r="A5" s="16"/>
    </row>
    <row r="6" spans="1:5" ht="18.5" x14ac:dyDescent="0.45">
      <c r="A6" s="16"/>
      <c r="B6" s="16"/>
      <c r="C6" s="16"/>
      <c r="D6" s="16"/>
      <c r="E6" s="16"/>
    </row>
    <row r="7" spans="1:5" ht="18.5" x14ac:dyDescent="0.45">
      <c r="A7" s="16"/>
      <c r="B7" s="16"/>
      <c r="C7" s="16"/>
      <c r="D7" s="16"/>
      <c r="E7" s="16"/>
    </row>
    <row r="8" spans="1:5" ht="18.5" x14ac:dyDescent="0.45">
      <c r="A8" s="16"/>
      <c r="B8" s="16"/>
      <c r="C8" s="16"/>
      <c r="D8" s="16"/>
      <c r="E8" s="16"/>
    </row>
    <row r="9" spans="1:5" ht="18.5" x14ac:dyDescent="0.45">
      <c r="A9" s="16"/>
      <c r="B9" s="16"/>
      <c r="C9" s="16"/>
      <c r="D9" s="16"/>
      <c r="E9" s="16"/>
    </row>
    <row r="10" spans="1:5" ht="18.5" x14ac:dyDescent="0.45">
      <c r="A10" s="16"/>
      <c r="B10" s="16"/>
      <c r="C10" s="16"/>
      <c r="D10" s="16"/>
      <c r="E10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546-91F4-46C2-8578-FE34A2DBD619}">
  <dimension ref="A1:H163"/>
  <sheetViews>
    <sheetView tabSelected="1" zoomScale="124" workbookViewId="0">
      <selection activeCell="I12" sqref="I12"/>
    </sheetView>
  </sheetViews>
  <sheetFormatPr defaultRowHeight="14.5" x14ac:dyDescent="0.35"/>
  <cols>
    <col min="1" max="1" width="10.36328125" style="2" bestFit="1" customWidth="1"/>
    <col min="2" max="2" width="44.90625" style="2" customWidth="1"/>
    <col min="3" max="3" width="9.81640625" style="2" customWidth="1"/>
    <col min="4" max="4" width="10.36328125" style="2" customWidth="1"/>
    <col min="5" max="5" width="12.7265625" bestFit="1" customWidth="1"/>
    <col min="6" max="6" width="9.6328125" customWidth="1"/>
    <col min="7" max="7" width="12.7265625" bestFit="1" customWidth="1"/>
    <col min="8" max="8" width="8.54296875" bestFit="1" customWidth="1"/>
    <col min="9" max="9" width="8.81640625" bestFit="1" customWidth="1"/>
    <col min="10" max="10" width="12.08984375" bestFit="1" customWidth="1"/>
  </cols>
  <sheetData>
    <row r="1" spans="1:8" x14ac:dyDescent="0.35">
      <c r="A1" s="1" t="s">
        <v>125</v>
      </c>
      <c r="B1" s="1" t="s">
        <v>123</v>
      </c>
      <c r="C1" s="1" t="s">
        <v>124</v>
      </c>
      <c r="D1" s="1" t="s">
        <v>150</v>
      </c>
      <c r="E1" s="3" t="s">
        <v>151</v>
      </c>
      <c r="F1" s="3" t="s">
        <v>152</v>
      </c>
      <c r="G1" s="3" t="s">
        <v>153</v>
      </c>
      <c r="H1" s="3" t="s">
        <v>154</v>
      </c>
    </row>
    <row r="2" spans="1:8" x14ac:dyDescent="0.35">
      <c r="A2" s="1" t="s">
        <v>126</v>
      </c>
      <c r="B2" s="1" t="s">
        <v>0</v>
      </c>
      <c r="C2" s="1">
        <v>11499</v>
      </c>
      <c r="D2" s="1" t="str">
        <f>IF(ISNUMBER(SEARCH("128",B2)),"128GB","64GB")</f>
        <v>64GB</v>
      </c>
      <c r="E2" s="4">
        <f>COUNTA(A:A)-1</f>
        <v>162</v>
      </c>
      <c r="F2" s="4">
        <f>MIN(C:C)</f>
        <v>480</v>
      </c>
      <c r="G2" s="4">
        <f>MAX(C:C)</f>
        <v>82900</v>
      </c>
      <c r="H2" s="4">
        <f>AVERAGE(C:C)</f>
        <v>13713.265432098766</v>
      </c>
    </row>
    <row r="3" spans="1:8" x14ac:dyDescent="0.35">
      <c r="A3" s="1" t="s">
        <v>127</v>
      </c>
      <c r="B3" s="1" t="s">
        <v>1</v>
      </c>
      <c r="C3" s="1">
        <v>18999</v>
      </c>
      <c r="D3" s="1" t="str">
        <f t="shared" ref="D3:D66" si="0">IF(ISNUMBER(SEARCH("128",B3)),"128GB","64GB")</f>
        <v>128GB</v>
      </c>
    </row>
    <row r="4" spans="1:8" x14ac:dyDescent="0.35">
      <c r="A4" s="1" t="s">
        <v>128</v>
      </c>
      <c r="B4" s="1" t="s">
        <v>2</v>
      </c>
      <c r="C4" s="1">
        <v>8999</v>
      </c>
      <c r="D4" s="1" t="str">
        <f t="shared" si="0"/>
        <v>64GB</v>
      </c>
    </row>
    <row r="5" spans="1:8" x14ac:dyDescent="0.35">
      <c r="A5" s="1" t="s">
        <v>126</v>
      </c>
      <c r="B5" s="1" t="s">
        <v>3</v>
      </c>
      <c r="C5" s="1">
        <v>11499</v>
      </c>
      <c r="D5" s="1" t="str">
        <f t="shared" si="0"/>
        <v>64GB</v>
      </c>
    </row>
    <row r="6" spans="1:8" x14ac:dyDescent="0.35">
      <c r="A6" s="1" t="s">
        <v>126</v>
      </c>
      <c r="B6" s="1" t="s">
        <v>4</v>
      </c>
      <c r="C6" s="1">
        <v>12499</v>
      </c>
      <c r="D6" s="1" t="str">
        <f t="shared" si="0"/>
        <v>128GB</v>
      </c>
    </row>
    <row r="7" spans="1:8" x14ac:dyDescent="0.35">
      <c r="A7" s="1" t="s">
        <v>129</v>
      </c>
      <c r="B7" s="1" t="s">
        <v>5</v>
      </c>
      <c r="C7" s="1">
        <v>13499</v>
      </c>
      <c r="D7" s="1" t="str">
        <f t="shared" si="0"/>
        <v>64GB</v>
      </c>
    </row>
    <row r="8" spans="1:8" x14ac:dyDescent="0.35">
      <c r="A8" s="1" t="s">
        <v>128</v>
      </c>
      <c r="B8" s="1" t="s">
        <v>6</v>
      </c>
      <c r="C8" s="1">
        <v>19999</v>
      </c>
      <c r="D8" s="1" t="str">
        <f t="shared" si="0"/>
        <v>128GB</v>
      </c>
    </row>
    <row r="9" spans="1:8" x14ac:dyDescent="0.35">
      <c r="A9" s="1" t="s">
        <v>130</v>
      </c>
      <c r="B9" s="1" t="s">
        <v>7</v>
      </c>
      <c r="C9" s="1">
        <v>1599</v>
      </c>
      <c r="D9" s="1" t="str">
        <f t="shared" si="0"/>
        <v>64GB</v>
      </c>
    </row>
    <row r="10" spans="1:8" x14ac:dyDescent="0.35">
      <c r="A10" s="1" t="s">
        <v>126</v>
      </c>
      <c r="B10" s="1" t="s">
        <v>8</v>
      </c>
      <c r="C10" s="1">
        <v>11499</v>
      </c>
      <c r="D10" s="1" t="str">
        <f t="shared" si="0"/>
        <v>64GB</v>
      </c>
    </row>
    <row r="11" spans="1:8" x14ac:dyDescent="0.35">
      <c r="A11" s="1" t="s">
        <v>131</v>
      </c>
      <c r="B11" s="1" t="s">
        <v>9</v>
      </c>
      <c r="C11" s="1">
        <v>7999</v>
      </c>
      <c r="D11" s="1" t="str">
        <f t="shared" si="0"/>
        <v>64GB</v>
      </c>
    </row>
    <row r="12" spans="1:8" x14ac:dyDescent="0.35">
      <c r="A12" s="1" t="s">
        <v>131</v>
      </c>
      <c r="B12" s="1" t="s">
        <v>10</v>
      </c>
      <c r="C12" s="1">
        <v>7999</v>
      </c>
      <c r="D12" s="1" t="str">
        <f t="shared" si="0"/>
        <v>64GB</v>
      </c>
    </row>
    <row r="13" spans="1:8" x14ac:dyDescent="0.35">
      <c r="A13" s="1" t="s">
        <v>131</v>
      </c>
      <c r="B13" s="1" t="s">
        <v>11</v>
      </c>
      <c r="C13" s="1">
        <v>8999</v>
      </c>
      <c r="D13" s="1" t="str">
        <f t="shared" si="0"/>
        <v>64GB</v>
      </c>
    </row>
    <row r="14" spans="1:8" x14ac:dyDescent="0.35">
      <c r="A14" s="1" t="s">
        <v>127</v>
      </c>
      <c r="B14" s="1" t="s">
        <v>12</v>
      </c>
      <c r="C14" s="1">
        <v>9999</v>
      </c>
      <c r="D14" s="1" t="str">
        <f t="shared" si="0"/>
        <v>64GB</v>
      </c>
    </row>
    <row r="15" spans="1:8" x14ac:dyDescent="0.35">
      <c r="A15" s="1" t="s">
        <v>129</v>
      </c>
      <c r="B15" s="1" t="s">
        <v>13</v>
      </c>
      <c r="C15" s="1">
        <v>11999</v>
      </c>
      <c r="D15" s="1" t="str">
        <f t="shared" si="0"/>
        <v>128GB</v>
      </c>
    </row>
    <row r="16" spans="1:8" x14ac:dyDescent="0.35">
      <c r="A16" s="1" t="s">
        <v>131</v>
      </c>
      <c r="B16" s="1" t="s">
        <v>14</v>
      </c>
      <c r="C16" s="1">
        <v>7999</v>
      </c>
      <c r="D16" s="1" t="str">
        <f t="shared" si="0"/>
        <v>64GB</v>
      </c>
    </row>
    <row r="17" spans="1:4" x14ac:dyDescent="0.35">
      <c r="A17" s="1" t="s">
        <v>132</v>
      </c>
      <c r="B17" s="1" t="s">
        <v>15</v>
      </c>
      <c r="C17" s="1">
        <v>777</v>
      </c>
      <c r="D17" s="1" t="str">
        <f t="shared" si="0"/>
        <v>64GB</v>
      </c>
    </row>
    <row r="18" spans="1:4" x14ac:dyDescent="0.35">
      <c r="A18" s="1" t="s">
        <v>131</v>
      </c>
      <c r="B18" s="1" t="s">
        <v>16</v>
      </c>
      <c r="C18" s="1">
        <v>7999</v>
      </c>
      <c r="D18" s="1" t="str">
        <f t="shared" si="0"/>
        <v>64GB</v>
      </c>
    </row>
    <row r="19" spans="1:4" x14ac:dyDescent="0.35">
      <c r="A19" s="1" t="s">
        <v>127</v>
      </c>
      <c r="B19" s="1" t="s">
        <v>17</v>
      </c>
      <c r="C19" s="1">
        <v>17999</v>
      </c>
      <c r="D19" s="1" t="str">
        <f t="shared" si="0"/>
        <v>128GB</v>
      </c>
    </row>
    <row r="20" spans="1:4" x14ac:dyDescent="0.35">
      <c r="A20" s="1" t="s">
        <v>133</v>
      </c>
      <c r="B20" s="1" t="s">
        <v>18</v>
      </c>
      <c r="C20" s="1">
        <v>1434</v>
      </c>
      <c r="D20" s="1" t="str">
        <f t="shared" si="0"/>
        <v>64GB</v>
      </c>
    </row>
    <row r="21" spans="1:4" x14ac:dyDescent="0.35">
      <c r="A21" s="1" t="s">
        <v>127</v>
      </c>
      <c r="B21" s="1" t="s">
        <v>19</v>
      </c>
      <c r="C21" s="1">
        <v>32999</v>
      </c>
      <c r="D21" s="1" t="str">
        <f t="shared" si="0"/>
        <v>64GB</v>
      </c>
    </row>
    <row r="22" spans="1:4" x14ac:dyDescent="0.35">
      <c r="A22" s="1" t="s">
        <v>126</v>
      </c>
      <c r="B22" s="1" t="s">
        <v>20</v>
      </c>
      <c r="C22" s="1">
        <v>15499</v>
      </c>
      <c r="D22" s="1" t="str">
        <f t="shared" si="0"/>
        <v>128GB</v>
      </c>
    </row>
    <row r="23" spans="1:4" x14ac:dyDescent="0.35">
      <c r="A23" s="1" t="s">
        <v>127</v>
      </c>
      <c r="B23" s="1" t="s">
        <v>21</v>
      </c>
      <c r="C23" s="1">
        <v>12499</v>
      </c>
      <c r="D23" s="1" t="str">
        <f t="shared" si="0"/>
        <v>128GB</v>
      </c>
    </row>
    <row r="24" spans="1:4" x14ac:dyDescent="0.35">
      <c r="A24" s="1" t="s">
        <v>128</v>
      </c>
      <c r="B24" s="1" t="s">
        <v>22</v>
      </c>
      <c r="C24" s="1">
        <v>8999</v>
      </c>
      <c r="D24" s="1" t="str">
        <f t="shared" si="0"/>
        <v>64GB</v>
      </c>
    </row>
    <row r="25" spans="1:4" x14ac:dyDescent="0.35">
      <c r="A25" s="1" t="s">
        <v>127</v>
      </c>
      <c r="B25" s="1" t="s">
        <v>23</v>
      </c>
      <c r="C25" s="1">
        <v>22999</v>
      </c>
      <c r="D25" s="1" t="str">
        <f t="shared" si="0"/>
        <v>128GB</v>
      </c>
    </row>
    <row r="26" spans="1:4" x14ac:dyDescent="0.35">
      <c r="A26" s="1" t="s">
        <v>134</v>
      </c>
      <c r="B26" s="1" t="s">
        <v>24</v>
      </c>
      <c r="C26" s="1">
        <v>14499</v>
      </c>
      <c r="D26" s="1" t="str">
        <f t="shared" si="0"/>
        <v>128GB</v>
      </c>
    </row>
    <row r="27" spans="1:4" x14ac:dyDescent="0.35">
      <c r="A27" s="1" t="s">
        <v>126</v>
      </c>
      <c r="B27" s="1" t="s">
        <v>25</v>
      </c>
      <c r="C27" s="1">
        <v>16999</v>
      </c>
      <c r="D27" s="1" t="str">
        <f t="shared" si="0"/>
        <v>128GB</v>
      </c>
    </row>
    <row r="28" spans="1:4" x14ac:dyDescent="0.35">
      <c r="A28" s="1" t="s">
        <v>134</v>
      </c>
      <c r="B28" s="1" t="s">
        <v>26</v>
      </c>
      <c r="C28" s="1">
        <v>12999</v>
      </c>
      <c r="D28" s="1" t="str">
        <f t="shared" si="0"/>
        <v>128GB</v>
      </c>
    </row>
    <row r="29" spans="1:4" x14ac:dyDescent="0.35">
      <c r="A29" s="1" t="s">
        <v>135</v>
      </c>
      <c r="B29" s="1" t="s">
        <v>27</v>
      </c>
      <c r="C29" s="1">
        <v>1042</v>
      </c>
      <c r="D29" s="1" t="str">
        <f t="shared" si="0"/>
        <v>64GB</v>
      </c>
    </row>
    <row r="30" spans="1:4" x14ac:dyDescent="0.35">
      <c r="A30" s="1" t="s">
        <v>127</v>
      </c>
      <c r="B30" s="1" t="s">
        <v>28</v>
      </c>
      <c r="C30" s="1">
        <v>15499</v>
      </c>
      <c r="D30" s="1" t="str">
        <f t="shared" si="0"/>
        <v>128GB</v>
      </c>
    </row>
    <row r="31" spans="1:4" x14ac:dyDescent="0.35">
      <c r="A31" s="1" t="s">
        <v>134</v>
      </c>
      <c r="B31" s="1" t="s">
        <v>24</v>
      </c>
      <c r="C31" s="1">
        <v>16499</v>
      </c>
      <c r="D31" s="1" t="str">
        <f t="shared" si="0"/>
        <v>128GB</v>
      </c>
    </row>
    <row r="32" spans="1:4" x14ac:dyDescent="0.35">
      <c r="A32" s="1" t="s">
        <v>127</v>
      </c>
      <c r="B32" s="1" t="s">
        <v>29</v>
      </c>
      <c r="C32" s="1">
        <v>20999</v>
      </c>
      <c r="D32" s="1" t="str">
        <f t="shared" si="0"/>
        <v>128GB</v>
      </c>
    </row>
    <row r="33" spans="1:4" x14ac:dyDescent="0.35">
      <c r="A33" s="1" t="s">
        <v>126</v>
      </c>
      <c r="B33" s="1" t="s">
        <v>30</v>
      </c>
      <c r="C33" s="1">
        <v>10999</v>
      </c>
      <c r="D33" s="1" t="str">
        <f t="shared" si="0"/>
        <v>64GB</v>
      </c>
    </row>
    <row r="34" spans="1:4" x14ac:dyDescent="0.35">
      <c r="A34" s="1" t="s">
        <v>134</v>
      </c>
      <c r="B34" s="1" t="s">
        <v>31</v>
      </c>
      <c r="C34" s="1">
        <v>12999</v>
      </c>
      <c r="D34" s="1" t="str">
        <f t="shared" si="0"/>
        <v>128GB</v>
      </c>
    </row>
    <row r="35" spans="1:4" x14ac:dyDescent="0.35">
      <c r="A35" s="1" t="s">
        <v>131</v>
      </c>
      <c r="B35" s="1" t="s">
        <v>32</v>
      </c>
      <c r="C35" s="1">
        <v>8999</v>
      </c>
      <c r="D35" s="1" t="str">
        <f t="shared" si="0"/>
        <v>64GB</v>
      </c>
    </row>
    <row r="36" spans="1:4" x14ac:dyDescent="0.35">
      <c r="A36" s="1" t="s">
        <v>126</v>
      </c>
      <c r="B36" s="1" t="s">
        <v>33</v>
      </c>
      <c r="C36" s="1">
        <v>11499</v>
      </c>
      <c r="D36" s="1" t="str">
        <f t="shared" si="0"/>
        <v>128GB</v>
      </c>
    </row>
    <row r="37" spans="1:4" x14ac:dyDescent="0.35">
      <c r="A37" s="1" t="s">
        <v>129</v>
      </c>
      <c r="B37" s="1" t="s">
        <v>34</v>
      </c>
      <c r="C37" s="1">
        <v>11999</v>
      </c>
      <c r="D37" s="1" t="str">
        <f t="shared" si="0"/>
        <v>128GB</v>
      </c>
    </row>
    <row r="38" spans="1:4" x14ac:dyDescent="0.35">
      <c r="A38" s="1" t="s">
        <v>128</v>
      </c>
      <c r="B38" s="1" t="s">
        <v>35</v>
      </c>
      <c r="C38" s="1">
        <v>23999</v>
      </c>
      <c r="D38" s="1" t="str">
        <f t="shared" si="0"/>
        <v>64GB</v>
      </c>
    </row>
    <row r="39" spans="1:4" x14ac:dyDescent="0.35">
      <c r="A39" s="1" t="s">
        <v>134</v>
      </c>
      <c r="B39" s="1" t="s">
        <v>26</v>
      </c>
      <c r="C39" s="1">
        <v>14999</v>
      </c>
      <c r="D39" s="1" t="str">
        <f t="shared" si="0"/>
        <v>128GB</v>
      </c>
    </row>
    <row r="40" spans="1:4" x14ac:dyDescent="0.35">
      <c r="A40" s="1" t="s">
        <v>133</v>
      </c>
      <c r="B40" s="1" t="s">
        <v>36</v>
      </c>
      <c r="C40" s="1">
        <v>1579</v>
      </c>
      <c r="D40" s="1" t="str">
        <f t="shared" si="0"/>
        <v>64GB</v>
      </c>
    </row>
    <row r="41" spans="1:4" x14ac:dyDescent="0.35">
      <c r="A41" s="1" t="s">
        <v>134</v>
      </c>
      <c r="B41" s="1" t="s">
        <v>37</v>
      </c>
      <c r="C41" s="1">
        <v>9960</v>
      </c>
      <c r="D41" s="1" t="str">
        <f t="shared" si="0"/>
        <v>64GB</v>
      </c>
    </row>
    <row r="42" spans="1:4" x14ac:dyDescent="0.35">
      <c r="A42" s="1" t="s">
        <v>127</v>
      </c>
      <c r="B42" s="1" t="s">
        <v>38</v>
      </c>
      <c r="C42" s="1">
        <v>18999</v>
      </c>
      <c r="D42" s="1" t="str">
        <f t="shared" si="0"/>
        <v>128GB</v>
      </c>
    </row>
    <row r="43" spans="1:4" x14ac:dyDescent="0.35">
      <c r="A43" s="1" t="s">
        <v>129</v>
      </c>
      <c r="B43" s="1" t="s">
        <v>39</v>
      </c>
      <c r="C43" s="1">
        <v>20999</v>
      </c>
      <c r="D43" s="1" t="str">
        <f t="shared" si="0"/>
        <v>64GB</v>
      </c>
    </row>
    <row r="44" spans="1:4" x14ac:dyDescent="0.35">
      <c r="A44" s="1" t="s">
        <v>134</v>
      </c>
      <c r="B44" s="1" t="s">
        <v>40</v>
      </c>
      <c r="C44" s="1">
        <v>16499</v>
      </c>
      <c r="D44" s="1" t="str">
        <f t="shared" si="0"/>
        <v>128GB</v>
      </c>
    </row>
    <row r="45" spans="1:4" x14ac:dyDescent="0.35">
      <c r="A45" s="1" t="s">
        <v>126</v>
      </c>
      <c r="B45" s="1" t="s">
        <v>41</v>
      </c>
      <c r="C45" s="1">
        <v>12499</v>
      </c>
      <c r="D45" s="1" t="str">
        <f t="shared" si="0"/>
        <v>128GB</v>
      </c>
    </row>
    <row r="46" spans="1:4" x14ac:dyDescent="0.35">
      <c r="A46" s="1" t="s">
        <v>128</v>
      </c>
      <c r="B46" s="1" t="s">
        <v>42</v>
      </c>
      <c r="C46" s="1">
        <v>13989</v>
      </c>
      <c r="D46" s="1" t="str">
        <f t="shared" si="0"/>
        <v>128GB</v>
      </c>
    </row>
    <row r="47" spans="1:4" x14ac:dyDescent="0.35">
      <c r="A47" s="1" t="s">
        <v>126</v>
      </c>
      <c r="B47" s="1" t="s">
        <v>0</v>
      </c>
      <c r="C47" s="1">
        <v>11499</v>
      </c>
      <c r="D47" s="1" t="str">
        <f t="shared" si="0"/>
        <v>64GB</v>
      </c>
    </row>
    <row r="48" spans="1:4" x14ac:dyDescent="0.35">
      <c r="A48" s="1" t="s">
        <v>127</v>
      </c>
      <c r="B48" s="1" t="s">
        <v>1</v>
      </c>
      <c r="C48" s="1">
        <v>18999</v>
      </c>
      <c r="D48" s="1" t="str">
        <f t="shared" si="0"/>
        <v>128GB</v>
      </c>
    </row>
    <row r="49" spans="1:4" x14ac:dyDescent="0.35">
      <c r="A49" s="1" t="s">
        <v>128</v>
      </c>
      <c r="B49" s="1" t="s">
        <v>2</v>
      </c>
      <c r="C49" s="1">
        <v>8999</v>
      </c>
      <c r="D49" s="1" t="str">
        <f t="shared" si="0"/>
        <v>64GB</v>
      </c>
    </row>
    <row r="50" spans="1:4" x14ac:dyDescent="0.35">
      <c r="A50" s="1" t="s">
        <v>126</v>
      </c>
      <c r="B50" s="1" t="s">
        <v>3</v>
      </c>
      <c r="C50" s="1">
        <v>11499</v>
      </c>
      <c r="D50" s="1" t="str">
        <f t="shared" si="0"/>
        <v>64GB</v>
      </c>
    </row>
    <row r="51" spans="1:4" x14ac:dyDescent="0.35">
      <c r="A51" s="1" t="s">
        <v>126</v>
      </c>
      <c r="B51" s="1" t="s">
        <v>4</v>
      </c>
      <c r="C51" s="1">
        <v>12499</v>
      </c>
      <c r="D51" s="1" t="str">
        <f t="shared" si="0"/>
        <v>128GB</v>
      </c>
    </row>
    <row r="52" spans="1:4" x14ac:dyDescent="0.35">
      <c r="A52" s="1" t="s">
        <v>129</v>
      </c>
      <c r="B52" s="1" t="s">
        <v>5</v>
      </c>
      <c r="C52" s="1">
        <v>13499</v>
      </c>
      <c r="D52" s="1" t="str">
        <f t="shared" si="0"/>
        <v>64GB</v>
      </c>
    </row>
    <row r="53" spans="1:4" x14ac:dyDescent="0.35">
      <c r="A53" s="1" t="s">
        <v>128</v>
      </c>
      <c r="B53" s="1" t="s">
        <v>6</v>
      </c>
      <c r="C53" s="1">
        <v>19999</v>
      </c>
      <c r="D53" s="1" t="str">
        <f t="shared" si="0"/>
        <v>128GB</v>
      </c>
    </row>
    <row r="54" spans="1:4" x14ac:dyDescent="0.35">
      <c r="A54" s="1" t="s">
        <v>130</v>
      </c>
      <c r="B54" s="1" t="s">
        <v>7</v>
      </c>
      <c r="C54" s="1">
        <v>1599</v>
      </c>
      <c r="D54" s="1" t="str">
        <f t="shared" si="0"/>
        <v>64GB</v>
      </c>
    </row>
    <row r="55" spans="1:4" x14ac:dyDescent="0.35">
      <c r="A55" s="1" t="s">
        <v>126</v>
      </c>
      <c r="B55" s="1" t="s">
        <v>8</v>
      </c>
      <c r="C55" s="1">
        <v>11499</v>
      </c>
      <c r="D55" s="1" t="str">
        <f t="shared" si="0"/>
        <v>64GB</v>
      </c>
    </row>
    <row r="56" spans="1:4" x14ac:dyDescent="0.35">
      <c r="A56" s="1" t="s">
        <v>131</v>
      </c>
      <c r="B56" s="1" t="s">
        <v>9</v>
      </c>
      <c r="C56" s="1">
        <v>7999</v>
      </c>
      <c r="D56" s="1" t="str">
        <f t="shared" si="0"/>
        <v>64GB</v>
      </c>
    </row>
    <row r="57" spans="1:4" x14ac:dyDescent="0.35">
      <c r="A57" s="1" t="s">
        <v>131</v>
      </c>
      <c r="B57" s="1" t="s">
        <v>10</v>
      </c>
      <c r="C57" s="1">
        <v>7999</v>
      </c>
      <c r="D57" s="1" t="str">
        <f t="shared" si="0"/>
        <v>64GB</v>
      </c>
    </row>
    <row r="58" spans="1:4" x14ac:dyDescent="0.35">
      <c r="A58" s="1" t="s">
        <v>131</v>
      </c>
      <c r="B58" s="1" t="s">
        <v>11</v>
      </c>
      <c r="C58" s="1">
        <v>8999</v>
      </c>
      <c r="D58" s="1" t="str">
        <f t="shared" si="0"/>
        <v>64GB</v>
      </c>
    </row>
    <row r="59" spans="1:4" x14ac:dyDescent="0.35">
      <c r="A59" s="1" t="s">
        <v>127</v>
      </c>
      <c r="B59" s="1" t="s">
        <v>12</v>
      </c>
      <c r="C59" s="1">
        <v>9999</v>
      </c>
      <c r="D59" s="1" t="str">
        <f t="shared" si="0"/>
        <v>64GB</v>
      </c>
    </row>
    <row r="60" spans="1:4" x14ac:dyDescent="0.35">
      <c r="A60" s="1" t="s">
        <v>129</v>
      </c>
      <c r="B60" s="1" t="s">
        <v>13</v>
      </c>
      <c r="C60" s="1">
        <v>11999</v>
      </c>
      <c r="D60" s="1" t="str">
        <f t="shared" si="0"/>
        <v>128GB</v>
      </c>
    </row>
    <row r="61" spans="1:4" x14ac:dyDescent="0.35">
      <c r="A61" s="1" t="s">
        <v>131</v>
      </c>
      <c r="B61" s="1" t="s">
        <v>14</v>
      </c>
      <c r="C61" s="1">
        <v>7999</v>
      </c>
      <c r="D61" s="1" t="str">
        <f t="shared" si="0"/>
        <v>64GB</v>
      </c>
    </row>
    <row r="62" spans="1:4" x14ac:dyDescent="0.35">
      <c r="A62" s="1" t="s">
        <v>132</v>
      </c>
      <c r="B62" s="1" t="s">
        <v>15</v>
      </c>
      <c r="C62" s="1">
        <v>777</v>
      </c>
      <c r="D62" s="1" t="str">
        <f t="shared" si="0"/>
        <v>64GB</v>
      </c>
    </row>
    <row r="63" spans="1:4" x14ac:dyDescent="0.35">
      <c r="A63" s="1" t="s">
        <v>131</v>
      </c>
      <c r="B63" s="1" t="s">
        <v>16</v>
      </c>
      <c r="C63" s="1">
        <v>7999</v>
      </c>
      <c r="D63" s="1" t="str">
        <f t="shared" si="0"/>
        <v>64GB</v>
      </c>
    </row>
    <row r="64" spans="1:4" x14ac:dyDescent="0.35">
      <c r="A64" s="1" t="s">
        <v>127</v>
      </c>
      <c r="B64" s="1" t="s">
        <v>17</v>
      </c>
      <c r="C64" s="1">
        <v>17999</v>
      </c>
      <c r="D64" s="1" t="str">
        <f t="shared" si="0"/>
        <v>128GB</v>
      </c>
    </row>
    <row r="65" spans="1:4" x14ac:dyDescent="0.35">
      <c r="A65" s="1" t="s">
        <v>133</v>
      </c>
      <c r="B65" s="1" t="s">
        <v>18</v>
      </c>
      <c r="C65" s="1">
        <v>1434</v>
      </c>
      <c r="D65" s="1" t="str">
        <f t="shared" si="0"/>
        <v>64GB</v>
      </c>
    </row>
    <row r="66" spans="1:4" x14ac:dyDescent="0.35">
      <c r="A66" s="1" t="s">
        <v>127</v>
      </c>
      <c r="B66" s="1" t="s">
        <v>19</v>
      </c>
      <c r="C66" s="1">
        <v>32999</v>
      </c>
      <c r="D66" s="1" t="str">
        <f t="shared" si="0"/>
        <v>64GB</v>
      </c>
    </row>
    <row r="67" spans="1:4" x14ac:dyDescent="0.35">
      <c r="A67" s="1" t="s">
        <v>126</v>
      </c>
      <c r="B67" s="1" t="s">
        <v>20</v>
      </c>
      <c r="C67" s="1">
        <v>15499</v>
      </c>
      <c r="D67" s="1" t="str">
        <f t="shared" ref="D67:D130" si="1">IF(ISNUMBER(SEARCH("128",B67)),"128GB","64GB")</f>
        <v>128GB</v>
      </c>
    </row>
    <row r="68" spans="1:4" x14ac:dyDescent="0.35">
      <c r="A68" s="1" t="s">
        <v>136</v>
      </c>
      <c r="B68" s="1" t="s">
        <v>43</v>
      </c>
      <c r="C68" s="1">
        <v>13999</v>
      </c>
      <c r="D68" s="1" t="str">
        <f t="shared" si="1"/>
        <v>64GB</v>
      </c>
    </row>
    <row r="69" spans="1:4" x14ac:dyDescent="0.35">
      <c r="A69" s="1" t="s">
        <v>134</v>
      </c>
      <c r="B69" s="1" t="s">
        <v>44</v>
      </c>
      <c r="C69" s="1">
        <v>10399</v>
      </c>
      <c r="D69" s="1" t="str">
        <f t="shared" si="1"/>
        <v>64GB</v>
      </c>
    </row>
    <row r="70" spans="1:4" x14ac:dyDescent="0.35">
      <c r="A70" s="1" t="s">
        <v>137</v>
      </c>
      <c r="B70" s="1" t="s">
        <v>45</v>
      </c>
      <c r="C70" s="1">
        <v>1194</v>
      </c>
      <c r="D70" s="1" t="str">
        <f t="shared" si="1"/>
        <v>64GB</v>
      </c>
    </row>
    <row r="71" spans="1:4" x14ac:dyDescent="0.35">
      <c r="A71" s="1" t="s">
        <v>132</v>
      </c>
      <c r="B71" s="1" t="s">
        <v>46</v>
      </c>
      <c r="C71" s="1">
        <v>599</v>
      </c>
      <c r="D71" s="1" t="str">
        <f t="shared" si="1"/>
        <v>64GB</v>
      </c>
    </row>
    <row r="72" spans="1:4" x14ac:dyDescent="0.35">
      <c r="A72" s="1" t="s">
        <v>126</v>
      </c>
      <c r="B72" s="1" t="s">
        <v>47</v>
      </c>
      <c r="C72" s="1">
        <v>10999</v>
      </c>
      <c r="D72" s="1" t="str">
        <f t="shared" si="1"/>
        <v>64GB</v>
      </c>
    </row>
    <row r="73" spans="1:4" x14ac:dyDescent="0.35">
      <c r="A73" s="1" t="s">
        <v>126</v>
      </c>
      <c r="B73" s="1" t="s">
        <v>48</v>
      </c>
      <c r="C73" s="1">
        <v>9999</v>
      </c>
      <c r="D73" s="1" t="str">
        <f t="shared" si="1"/>
        <v>128GB</v>
      </c>
    </row>
    <row r="74" spans="1:4" x14ac:dyDescent="0.35">
      <c r="A74" s="1" t="s">
        <v>135</v>
      </c>
      <c r="B74" s="1" t="s">
        <v>49</v>
      </c>
      <c r="C74" s="1">
        <v>1304</v>
      </c>
      <c r="D74" s="1" t="str">
        <f t="shared" si="1"/>
        <v>64GB</v>
      </c>
    </row>
    <row r="75" spans="1:4" x14ac:dyDescent="0.35">
      <c r="A75" s="1" t="s">
        <v>127</v>
      </c>
      <c r="B75" s="1" t="s">
        <v>50</v>
      </c>
      <c r="C75" s="1">
        <v>20999</v>
      </c>
      <c r="D75" s="1" t="str">
        <f t="shared" si="1"/>
        <v>128GB</v>
      </c>
    </row>
    <row r="76" spans="1:4" x14ac:dyDescent="0.35">
      <c r="A76" s="1" t="s">
        <v>126</v>
      </c>
      <c r="B76" s="1" t="s">
        <v>20</v>
      </c>
      <c r="C76" s="1">
        <v>16999</v>
      </c>
      <c r="D76" s="1" t="str">
        <f t="shared" si="1"/>
        <v>128GB</v>
      </c>
    </row>
    <row r="77" spans="1:4" x14ac:dyDescent="0.35">
      <c r="A77" s="1" t="s">
        <v>138</v>
      </c>
      <c r="B77" s="1" t="s">
        <v>51</v>
      </c>
      <c r="C77" s="1">
        <v>21900</v>
      </c>
      <c r="D77" s="1" t="str">
        <f t="shared" si="1"/>
        <v>128GB</v>
      </c>
    </row>
    <row r="78" spans="1:4" x14ac:dyDescent="0.35">
      <c r="A78" s="1" t="s">
        <v>127</v>
      </c>
      <c r="B78" s="1" t="s">
        <v>52</v>
      </c>
      <c r="C78" s="1">
        <v>26999</v>
      </c>
      <c r="D78" s="1" t="str">
        <f t="shared" si="1"/>
        <v>128GB</v>
      </c>
    </row>
    <row r="79" spans="1:4" x14ac:dyDescent="0.35">
      <c r="A79" s="1" t="s">
        <v>134</v>
      </c>
      <c r="B79" s="1" t="s">
        <v>53</v>
      </c>
      <c r="C79" s="1">
        <v>9581</v>
      </c>
      <c r="D79" s="1" t="str">
        <f t="shared" si="1"/>
        <v>64GB</v>
      </c>
    </row>
    <row r="80" spans="1:4" x14ac:dyDescent="0.35">
      <c r="A80" s="1" t="s">
        <v>135</v>
      </c>
      <c r="B80" s="1" t="s">
        <v>54</v>
      </c>
      <c r="C80" s="1">
        <v>1994</v>
      </c>
      <c r="D80" s="1" t="str">
        <f t="shared" si="1"/>
        <v>64GB</v>
      </c>
    </row>
    <row r="81" spans="1:4" x14ac:dyDescent="0.35">
      <c r="A81" s="1" t="s">
        <v>129</v>
      </c>
      <c r="B81" s="1" t="s">
        <v>55</v>
      </c>
      <c r="C81" s="1">
        <v>16649</v>
      </c>
      <c r="D81" s="1" t="str">
        <f t="shared" si="1"/>
        <v>128GB</v>
      </c>
    </row>
    <row r="82" spans="1:4" x14ac:dyDescent="0.35">
      <c r="A82" s="1" t="s">
        <v>131</v>
      </c>
      <c r="B82" s="1" t="s">
        <v>56</v>
      </c>
      <c r="C82" s="1">
        <v>9999</v>
      </c>
      <c r="D82" s="1" t="str">
        <f t="shared" si="1"/>
        <v>128GB</v>
      </c>
    </row>
    <row r="83" spans="1:4" x14ac:dyDescent="0.35">
      <c r="A83" s="1" t="s">
        <v>134</v>
      </c>
      <c r="B83" s="1" t="s">
        <v>57</v>
      </c>
      <c r="C83" s="1">
        <v>17448</v>
      </c>
      <c r="D83" s="1" t="str">
        <f t="shared" si="1"/>
        <v>128GB</v>
      </c>
    </row>
    <row r="84" spans="1:4" x14ac:dyDescent="0.35">
      <c r="A84" s="1" t="s">
        <v>135</v>
      </c>
      <c r="B84" s="1" t="s">
        <v>58</v>
      </c>
      <c r="C84" s="1">
        <v>1349</v>
      </c>
      <c r="D84" s="1" t="str">
        <f t="shared" si="1"/>
        <v>64GB</v>
      </c>
    </row>
    <row r="85" spans="1:4" x14ac:dyDescent="0.35">
      <c r="A85" s="1" t="s">
        <v>127</v>
      </c>
      <c r="B85" s="1" t="s">
        <v>59</v>
      </c>
      <c r="C85" s="1">
        <v>22999</v>
      </c>
      <c r="D85" s="1" t="str">
        <f t="shared" si="1"/>
        <v>128GB</v>
      </c>
    </row>
    <row r="86" spans="1:4" x14ac:dyDescent="0.35">
      <c r="A86" s="1" t="s">
        <v>139</v>
      </c>
      <c r="B86" s="1" t="s">
        <v>60</v>
      </c>
      <c r="C86" s="1">
        <v>1342</v>
      </c>
      <c r="D86" s="1" t="str">
        <f t="shared" si="1"/>
        <v>64GB</v>
      </c>
    </row>
    <row r="87" spans="1:4" x14ac:dyDescent="0.35">
      <c r="A87" s="1" t="s">
        <v>134</v>
      </c>
      <c r="B87" s="1" t="s">
        <v>61</v>
      </c>
      <c r="C87" s="1">
        <v>9918</v>
      </c>
      <c r="D87" s="1" t="str">
        <f t="shared" si="1"/>
        <v>64GB</v>
      </c>
    </row>
    <row r="88" spans="1:4" x14ac:dyDescent="0.35">
      <c r="A88" s="1" t="s">
        <v>126</v>
      </c>
      <c r="B88" s="1" t="s">
        <v>62</v>
      </c>
      <c r="C88" s="1">
        <v>11499</v>
      </c>
      <c r="D88" s="1" t="str">
        <f t="shared" si="1"/>
        <v>128GB</v>
      </c>
    </row>
    <row r="89" spans="1:4" x14ac:dyDescent="0.35">
      <c r="A89" s="1" t="s">
        <v>135</v>
      </c>
      <c r="B89" s="1" t="s">
        <v>54</v>
      </c>
      <c r="C89" s="1">
        <v>1994</v>
      </c>
      <c r="D89" s="1" t="str">
        <f t="shared" si="1"/>
        <v>64GB</v>
      </c>
    </row>
    <row r="90" spans="1:4" x14ac:dyDescent="0.35">
      <c r="A90" s="1" t="s">
        <v>126</v>
      </c>
      <c r="B90" s="1" t="s">
        <v>63</v>
      </c>
      <c r="C90" s="1">
        <v>13499</v>
      </c>
      <c r="D90" s="1" t="str">
        <f t="shared" si="1"/>
        <v>128GB</v>
      </c>
    </row>
    <row r="91" spans="1:4" x14ac:dyDescent="0.35">
      <c r="A91" s="1" t="s">
        <v>134</v>
      </c>
      <c r="B91" s="1" t="s">
        <v>64</v>
      </c>
      <c r="C91" s="1">
        <v>12155</v>
      </c>
      <c r="D91" s="1" t="str">
        <f t="shared" si="1"/>
        <v>128GB</v>
      </c>
    </row>
    <row r="92" spans="1:4" x14ac:dyDescent="0.35">
      <c r="A92" s="1" t="s">
        <v>129</v>
      </c>
      <c r="B92" s="1" t="s">
        <v>65</v>
      </c>
      <c r="C92" s="1">
        <v>13499</v>
      </c>
      <c r="D92" s="1" t="str">
        <f t="shared" si="1"/>
        <v>64GB</v>
      </c>
    </row>
    <row r="93" spans="1:4" x14ac:dyDescent="0.35">
      <c r="A93" s="1" t="s">
        <v>134</v>
      </c>
      <c r="B93" s="1" t="s">
        <v>31</v>
      </c>
      <c r="C93" s="1">
        <v>14999</v>
      </c>
      <c r="D93" s="1" t="str">
        <f t="shared" si="1"/>
        <v>128GB</v>
      </c>
    </row>
    <row r="94" spans="1:4" x14ac:dyDescent="0.35">
      <c r="A94" s="1" t="s">
        <v>126</v>
      </c>
      <c r="B94" s="1" t="s">
        <v>66</v>
      </c>
      <c r="C94" s="1">
        <v>13999</v>
      </c>
      <c r="D94" s="1" t="str">
        <f t="shared" si="1"/>
        <v>128GB</v>
      </c>
    </row>
    <row r="95" spans="1:4" x14ac:dyDescent="0.35">
      <c r="A95" s="1" t="s">
        <v>131</v>
      </c>
      <c r="B95" s="1" t="s">
        <v>67</v>
      </c>
      <c r="C95" s="1">
        <v>9999</v>
      </c>
      <c r="D95" s="1" t="str">
        <f t="shared" si="1"/>
        <v>128GB</v>
      </c>
    </row>
    <row r="96" spans="1:4" x14ac:dyDescent="0.35">
      <c r="A96" s="1" t="s">
        <v>127</v>
      </c>
      <c r="B96" s="1" t="s">
        <v>68</v>
      </c>
      <c r="C96" s="1">
        <v>20999</v>
      </c>
      <c r="D96" s="1" t="str">
        <f t="shared" si="1"/>
        <v>128GB</v>
      </c>
    </row>
    <row r="97" spans="1:4" x14ac:dyDescent="0.35">
      <c r="A97" s="1" t="s">
        <v>140</v>
      </c>
      <c r="B97" s="1" t="s">
        <v>69</v>
      </c>
      <c r="C97" s="1">
        <v>29999</v>
      </c>
      <c r="D97" s="1" t="str">
        <f t="shared" si="1"/>
        <v>128GB</v>
      </c>
    </row>
    <row r="98" spans="1:4" x14ac:dyDescent="0.35">
      <c r="A98" s="1" t="s">
        <v>141</v>
      </c>
      <c r="B98" s="1" t="s">
        <v>70</v>
      </c>
      <c r="C98" s="1">
        <v>599</v>
      </c>
      <c r="D98" s="1" t="str">
        <f t="shared" si="1"/>
        <v>64GB</v>
      </c>
    </row>
    <row r="99" spans="1:4" x14ac:dyDescent="0.35">
      <c r="A99" s="1" t="s">
        <v>135</v>
      </c>
      <c r="B99" s="1" t="s">
        <v>58</v>
      </c>
      <c r="C99" s="1">
        <v>1349</v>
      </c>
      <c r="D99" s="1" t="str">
        <f t="shared" si="1"/>
        <v>64GB</v>
      </c>
    </row>
    <row r="100" spans="1:4" x14ac:dyDescent="0.35">
      <c r="A100" s="1" t="s">
        <v>131</v>
      </c>
      <c r="B100" s="1" t="s">
        <v>71</v>
      </c>
      <c r="C100" s="1">
        <v>9999</v>
      </c>
      <c r="D100" s="1" t="str">
        <f t="shared" si="1"/>
        <v>128GB</v>
      </c>
    </row>
    <row r="101" spans="1:4" x14ac:dyDescent="0.35">
      <c r="A101" s="1" t="s">
        <v>133</v>
      </c>
      <c r="B101" s="1" t="s">
        <v>72</v>
      </c>
      <c r="C101" s="1">
        <v>899</v>
      </c>
      <c r="D101" s="1" t="str">
        <f t="shared" si="1"/>
        <v>64GB</v>
      </c>
    </row>
    <row r="102" spans="1:4" x14ac:dyDescent="0.35">
      <c r="A102" s="1" t="s">
        <v>127</v>
      </c>
      <c r="B102" s="1" t="s">
        <v>73</v>
      </c>
      <c r="C102" s="1">
        <v>18999</v>
      </c>
      <c r="D102" s="1" t="str">
        <f t="shared" si="1"/>
        <v>128GB</v>
      </c>
    </row>
    <row r="103" spans="1:4" x14ac:dyDescent="0.35">
      <c r="A103" s="1" t="s">
        <v>135</v>
      </c>
      <c r="B103" s="1" t="s">
        <v>74</v>
      </c>
      <c r="C103" s="1">
        <v>1399</v>
      </c>
      <c r="D103" s="1" t="str">
        <f t="shared" si="1"/>
        <v>64GB</v>
      </c>
    </row>
    <row r="104" spans="1:4" x14ac:dyDescent="0.35">
      <c r="A104" s="1" t="s">
        <v>126</v>
      </c>
      <c r="B104" s="1" t="s">
        <v>75</v>
      </c>
      <c r="C104" s="1">
        <v>13499</v>
      </c>
      <c r="D104" s="1" t="str">
        <f t="shared" si="1"/>
        <v>128GB</v>
      </c>
    </row>
    <row r="105" spans="1:4" x14ac:dyDescent="0.35">
      <c r="A105" s="1" t="s">
        <v>126</v>
      </c>
      <c r="B105" s="1" t="s">
        <v>76</v>
      </c>
      <c r="C105" s="1">
        <v>14499</v>
      </c>
      <c r="D105" s="1" t="str">
        <f t="shared" si="1"/>
        <v>128GB</v>
      </c>
    </row>
    <row r="106" spans="1:4" x14ac:dyDescent="0.35">
      <c r="A106" s="1" t="s">
        <v>129</v>
      </c>
      <c r="B106" s="1" t="s">
        <v>77</v>
      </c>
      <c r="C106" s="1">
        <v>14499</v>
      </c>
      <c r="D106" s="1" t="str">
        <f t="shared" si="1"/>
        <v>128GB</v>
      </c>
    </row>
    <row r="107" spans="1:4" x14ac:dyDescent="0.35">
      <c r="A107" s="1" t="s">
        <v>134</v>
      </c>
      <c r="B107" s="1" t="s">
        <v>78</v>
      </c>
      <c r="C107" s="1">
        <v>16900</v>
      </c>
      <c r="D107" s="1" t="str">
        <f t="shared" si="1"/>
        <v>128GB</v>
      </c>
    </row>
    <row r="108" spans="1:4" x14ac:dyDescent="0.35">
      <c r="A108" s="1" t="s">
        <v>142</v>
      </c>
      <c r="B108" s="1" t="s">
        <v>79</v>
      </c>
      <c r="C108" s="1">
        <v>14999</v>
      </c>
      <c r="D108" s="1" t="str">
        <f t="shared" si="1"/>
        <v>64GB</v>
      </c>
    </row>
    <row r="109" spans="1:4" x14ac:dyDescent="0.35">
      <c r="A109" s="1" t="s">
        <v>126</v>
      </c>
      <c r="B109" s="1" t="s">
        <v>25</v>
      </c>
      <c r="C109" s="1">
        <v>15499</v>
      </c>
      <c r="D109" s="1" t="str">
        <f t="shared" si="1"/>
        <v>128GB</v>
      </c>
    </row>
    <row r="110" spans="1:4" x14ac:dyDescent="0.35">
      <c r="A110" s="1" t="s">
        <v>127</v>
      </c>
      <c r="B110" s="1" t="s">
        <v>80</v>
      </c>
      <c r="C110" s="1">
        <v>9999</v>
      </c>
      <c r="D110" s="1" t="str">
        <f t="shared" si="1"/>
        <v>64GB</v>
      </c>
    </row>
    <row r="111" spans="1:4" x14ac:dyDescent="0.35">
      <c r="A111" s="1" t="s">
        <v>143</v>
      </c>
      <c r="B111" s="1" t="s">
        <v>81</v>
      </c>
      <c r="C111" s="1">
        <v>749</v>
      </c>
      <c r="D111" s="1" t="str">
        <f t="shared" si="1"/>
        <v>64GB</v>
      </c>
    </row>
    <row r="112" spans="1:4" x14ac:dyDescent="0.35">
      <c r="A112" s="1" t="s">
        <v>131</v>
      </c>
      <c r="B112" s="1" t="s">
        <v>82</v>
      </c>
      <c r="C112" s="1">
        <v>10999</v>
      </c>
      <c r="D112" s="1" t="str">
        <f t="shared" si="1"/>
        <v>128GB</v>
      </c>
    </row>
    <row r="113" spans="1:4" x14ac:dyDescent="0.35">
      <c r="A113" s="1" t="s">
        <v>133</v>
      </c>
      <c r="B113" s="1" t="s">
        <v>36</v>
      </c>
      <c r="C113" s="1">
        <v>1579</v>
      </c>
      <c r="D113" s="1" t="str">
        <f t="shared" si="1"/>
        <v>64GB</v>
      </c>
    </row>
    <row r="114" spans="1:4" x14ac:dyDescent="0.35">
      <c r="A114" s="1" t="s">
        <v>144</v>
      </c>
      <c r="B114" s="1" t="s">
        <v>83</v>
      </c>
      <c r="C114" s="1">
        <v>899</v>
      </c>
      <c r="D114" s="1" t="str">
        <f t="shared" si="1"/>
        <v>64GB</v>
      </c>
    </row>
    <row r="115" spans="1:4" x14ac:dyDescent="0.35">
      <c r="A115" s="1" t="s">
        <v>145</v>
      </c>
      <c r="B115" s="1" t="s">
        <v>84</v>
      </c>
      <c r="C115" s="1">
        <v>1496</v>
      </c>
      <c r="D115" s="1" t="str">
        <f t="shared" si="1"/>
        <v>64GB</v>
      </c>
    </row>
    <row r="116" spans="1:4" x14ac:dyDescent="0.35">
      <c r="A116" s="1" t="s">
        <v>126</v>
      </c>
      <c r="B116" s="1" t="s">
        <v>85</v>
      </c>
      <c r="C116" s="1">
        <v>10999</v>
      </c>
      <c r="D116" s="1" t="str">
        <f t="shared" si="1"/>
        <v>64GB</v>
      </c>
    </row>
    <row r="117" spans="1:4" x14ac:dyDescent="0.35">
      <c r="A117" s="1" t="s">
        <v>128</v>
      </c>
      <c r="B117" s="1" t="s">
        <v>86</v>
      </c>
      <c r="C117" s="1">
        <v>16999</v>
      </c>
      <c r="D117" s="1" t="str">
        <f t="shared" si="1"/>
        <v>128GB</v>
      </c>
    </row>
    <row r="118" spans="1:4" x14ac:dyDescent="0.35">
      <c r="A118" s="1" t="s">
        <v>137</v>
      </c>
      <c r="B118" s="1" t="s">
        <v>87</v>
      </c>
      <c r="C118" s="1">
        <v>1341</v>
      </c>
      <c r="D118" s="1" t="str">
        <f t="shared" si="1"/>
        <v>64GB</v>
      </c>
    </row>
    <row r="119" spans="1:4" x14ac:dyDescent="0.35">
      <c r="A119" s="1" t="s">
        <v>128</v>
      </c>
      <c r="B119" s="1" t="s">
        <v>88</v>
      </c>
      <c r="C119" s="1">
        <v>19999</v>
      </c>
      <c r="D119" s="1" t="str">
        <f t="shared" si="1"/>
        <v>128GB</v>
      </c>
    </row>
    <row r="120" spans="1:4" x14ac:dyDescent="0.35">
      <c r="A120" s="1" t="s">
        <v>146</v>
      </c>
      <c r="B120" s="1" t="s">
        <v>89</v>
      </c>
      <c r="C120" s="1">
        <v>82900</v>
      </c>
      <c r="D120" s="1" t="str">
        <f t="shared" si="1"/>
        <v>64GB</v>
      </c>
    </row>
    <row r="121" spans="1:4" x14ac:dyDescent="0.35">
      <c r="A121" s="1" t="s">
        <v>137</v>
      </c>
      <c r="B121" s="1" t="s">
        <v>90</v>
      </c>
      <c r="C121" s="1">
        <v>1589</v>
      </c>
      <c r="D121" s="1" t="str">
        <f t="shared" si="1"/>
        <v>64GB</v>
      </c>
    </row>
    <row r="122" spans="1:4" x14ac:dyDescent="0.35">
      <c r="A122" s="1" t="s">
        <v>135</v>
      </c>
      <c r="B122" s="1" t="s">
        <v>49</v>
      </c>
      <c r="C122" s="1">
        <v>1304</v>
      </c>
      <c r="D122" s="1" t="str">
        <f t="shared" si="1"/>
        <v>64GB</v>
      </c>
    </row>
    <row r="123" spans="1:4" x14ac:dyDescent="0.35">
      <c r="A123" s="1" t="s">
        <v>127</v>
      </c>
      <c r="B123" s="1" t="s">
        <v>91</v>
      </c>
      <c r="C123" s="1">
        <v>9999</v>
      </c>
      <c r="D123" s="1" t="str">
        <f t="shared" si="1"/>
        <v>64GB</v>
      </c>
    </row>
    <row r="124" spans="1:4" x14ac:dyDescent="0.35">
      <c r="A124" s="1" t="s">
        <v>144</v>
      </c>
      <c r="B124" s="1" t="s">
        <v>92</v>
      </c>
      <c r="C124" s="1">
        <v>997</v>
      </c>
      <c r="D124" s="1" t="str">
        <f t="shared" si="1"/>
        <v>64GB</v>
      </c>
    </row>
    <row r="125" spans="1:4" x14ac:dyDescent="0.35">
      <c r="A125" s="1" t="s">
        <v>131</v>
      </c>
      <c r="B125" s="1" t="s">
        <v>93</v>
      </c>
      <c r="C125" s="1">
        <v>9999</v>
      </c>
      <c r="D125" s="1" t="str">
        <f t="shared" si="1"/>
        <v>128GB</v>
      </c>
    </row>
    <row r="126" spans="1:4" x14ac:dyDescent="0.35">
      <c r="A126" s="1" t="s">
        <v>126</v>
      </c>
      <c r="B126" s="1" t="s">
        <v>94</v>
      </c>
      <c r="C126" s="1">
        <v>18999</v>
      </c>
      <c r="D126" s="1" t="str">
        <f t="shared" si="1"/>
        <v>128GB</v>
      </c>
    </row>
    <row r="127" spans="1:4" x14ac:dyDescent="0.35">
      <c r="A127" s="1" t="s">
        <v>141</v>
      </c>
      <c r="B127" s="1" t="s">
        <v>95</v>
      </c>
      <c r="C127" s="1">
        <v>549</v>
      </c>
      <c r="D127" s="1" t="str">
        <f t="shared" si="1"/>
        <v>64GB</v>
      </c>
    </row>
    <row r="128" spans="1:4" x14ac:dyDescent="0.35">
      <c r="A128" s="1" t="s">
        <v>137</v>
      </c>
      <c r="B128" s="1" t="s">
        <v>96</v>
      </c>
      <c r="C128" s="1">
        <v>1049</v>
      </c>
      <c r="D128" s="1" t="str">
        <f t="shared" si="1"/>
        <v>64GB</v>
      </c>
    </row>
    <row r="129" spans="1:4" x14ac:dyDescent="0.35">
      <c r="A129" s="1" t="s">
        <v>140</v>
      </c>
      <c r="B129" s="1" t="s">
        <v>97</v>
      </c>
      <c r="C129" s="1">
        <v>33999</v>
      </c>
      <c r="D129" s="1" t="str">
        <f t="shared" si="1"/>
        <v>64GB</v>
      </c>
    </row>
    <row r="130" spans="1:4" x14ac:dyDescent="0.35">
      <c r="A130" s="1" t="s">
        <v>137</v>
      </c>
      <c r="B130" s="1" t="s">
        <v>98</v>
      </c>
      <c r="C130" s="1">
        <v>1286</v>
      </c>
      <c r="D130" s="1" t="str">
        <f t="shared" si="1"/>
        <v>64GB</v>
      </c>
    </row>
    <row r="131" spans="1:4" x14ac:dyDescent="0.35">
      <c r="A131" s="1" t="s">
        <v>126</v>
      </c>
      <c r="B131" s="1" t="s">
        <v>99</v>
      </c>
      <c r="C131" s="1">
        <v>17999</v>
      </c>
      <c r="D131" s="1" t="str">
        <f t="shared" ref="D131:D163" si="2">IF(ISNUMBER(SEARCH("128",B131)),"128GB","64GB")</f>
        <v>128GB</v>
      </c>
    </row>
    <row r="132" spans="1:4" x14ac:dyDescent="0.35">
      <c r="A132" s="1" t="s">
        <v>127</v>
      </c>
      <c r="B132" s="1" t="s">
        <v>100</v>
      </c>
      <c r="C132" s="1">
        <v>26999</v>
      </c>
      <c r="D132" s="1" t="str">
        <f t="shared" si="2"/>
        <v>128GB</v>
      </c>
    </row>
    <row r="133" spans="1:4" x14ac:dyDescent="0.35">
      <c r="A133" s="1" t="s">
        <v>147</v>
      </c>
      <c r="B133" s="1" t="s">
        <v>101</v>
      </c>
      <c r="C133" s="1">
        <v>28999</v>
      </c>
      <c r="D133" s="1" t="str">
        <f t="shared" si="2"/>
        <v>128GB</v>
      </c>
    </row>
    <row r="134" spans="1:4" x14ac:dyDescent="0.35">
      <c r="A134" s="1" t="s">
        <v>127</v>
      </c>
      <c r="B134" s="1" t="s">
        <v>102</v>
      </c>
      <c r="C134" s="1">
        <v>37999</v>
      </c>
      <c r="D134" s="1" t="str">
        <f t="shared" si="2"/>
        <v>64GB</v>
      </c>
    </row>
    <row r="135" spans="1:4" x14ac:dyDescent="0.35">
      <c r="A135" s="1" t="s">
        <v>148</v>
      </c>
      <c r="B135" s="1" t="s">
        <v>103</v>
      </c>
      <c r="C135" s="1">
        <v>37999</v>
      </c>
      <c r="D135" s="1" t="str">
        <f t="shared" si="2"/>
        <v>64GB</v>
      </c>
    </row>
    <row r="136" spans="1:4" x14ac:dyDescent="0.35">
      <c r="A136" s="1" t="s">
        <v>129</v>
      </c>
      <c r="B136" s="1" t="s">
        <v>104</v>
      </c>
      <c r="C136" s="1">
        <v>9999</v>
      </c>
      <c r="D136" s="1" t="str">
        <f t="shared" si="2"/>
        <v>64GB</v>
      </c>
    </row>
    <row r="137" spans="1:4" x14ac:dyDescent="0.35">
      <c r="A137" s="1" t="s">
        <v>128</v>
      </c>
      <c r="B137" s="1" t="s">
        <v>105</v>
      </c>
      <c r="C137" s="1">
        <v>13499</v>
      </c>
      <c r="D137" s="1" t="str">
        <f t="shared" si="2"/>
        <v>64GB</v>
      </c>
    </row>
    <row r="138" spans="1:4" x14ac:dyDescent="0.35">
      <c r="A138" s="1" t="s">
        <v>128</v>
      </c>
      <c r="B138" s="1" t="s">
        <v>106</v>
      </c>
      <c r="C138" s="1">
        <v>8999</v>
      </c>
      <c r="D138" s="1" t="str">
        <f t="shared" si="2"/>
        <v>64GB</v>
      </c>
    </row>
    <row r="139" spans="1:4" x14ac:dyDescent="0.35">
      <c r="A139" s="1" t="s">
        <v>129</v>
      </c>
      <c r="B139" s="1" t="s">
        <v>107</v>
      </c>
      <c r="C139" s="1">
        <v>13999</v>
      </c>
      <c r="D139" s="1" t="str">
        <f t="shared" si="2"/>
        <v>128GB</v>
      </c>
    </row>
    <row r="140" spans="1:4" x14ac:dyDescent="0.35">
      <c r="A140" s="1" t="s">
        <v>129</v>
      </c>
      <c r="B140" s="1" t="s">
        <v>34</v>
      </c>
      <c r="C140" s="1">
        <v>11999</v>
      </c>
      <c r="D140" s="1" t="str">
        <f t="shared" si="2"/>
        <v>128GB</v>
      </c>
    </row>
    <row r="141" spans="1:4" x14ac:dyDescent="0.35">
      <c r="A141" s="1" t="s">
        <v>146</v>
      </c>
      <c r="B141" s="1" t="s">
        <v>108</v>
      </c>
      <c r="C141" s="1">
        <v>59900</v>
      </c>
      <c r="D141" s="1" t="str">
        <f t="shared" si="2"/>
        <v>128GB</v>
      </c>
    </row>
    <row r="142" spans="1:4" x14ac:dyDescent="0.35">
      <c r="A142" s="1" t="s">
        <v>129</v>
      </c>
      <c r="B142" s="1" t="s">
        <v>109</v>
      </c>
      <c r="C142" s="1">
        <v>20999</v>
      </c>
      <c r="D142" s="1" t="str">
        <f t="shared" si="2"/>
        <v>64GB</v>
      </c>
    </row>
    <row r="143" spans="1:4" x14ac:dyDescent="0.35">
      <c r="A143" s="1" t="s">
        <v>144</v>
      </c>
      <c r="B143" s="1" t="s">
        <v>92</v>
      </c>
      <c r="C143" s="1">
        <v>999</v>
      </c>
      <c r="D143" s="1" t="str">
        <f t="shared" si="2"/>
        <v>64GB</v>
      </c>
    </row>
    <row r="144" spans="1:4" x14ac:dyDescent="0.35">
      <c r="A144" s="1" t="s">
        <v>126</v>
      </c>
      <c r="B144" s="1" t="s">
        <v>41</v>
      </c>
      <c r="C144" s="1">
        <v>12499</v>
      </c>
      <c r="D144" s="1" t="str">
        <f t="shared" si="2"/>
        <v>128GB</v>
      </c>
    </row>
    <row r="145" spans="1:4" x14ac:dyDescent="0.35">
      <c r="A145" s="1" t="s">
        <v>126</v>
      </c>
      <c r="B145" s="1" t="s">
        <v>25</v>
      </c>
      <c r="C145" s="1">
        <v>16999</v>
      </c>
      <c r="D145" s="1" t="str">
        <f t="shared" si="2"/>
        <v>128GB</v>
      </c>
    </row>
    <row r="146" spans="1:4" x14ac:dyDescent="0.35">
      <c r="A146" s="1" t="s">
        <v>127</v>
      </c>
      <c r="B146" s="1" t="s">
        <v>110</v>
      </c>
      <c r="C146" s="1">
        <v>32999</v>
      </c>
      <c r="D146" s="1" t="str">
        <f t="shared" si="2"/>
        <v>64GB</v>
      </c>
    </row>
    <row r="147" spans="1:4" x14ac:dyDescent="0.35">
      <c r="A147" s="1" t="s">
        <v>127</v>
      </c>
      <c r="B147" s="1" t="s">
        <v>111</v>
      </c>
      <c r="C147" s="1">
        <v>1046</v>
      </c>
      <c r="D147" s="1" t="str">
        <f t="shared" si="2"/>
        <v>64GB</v>
      </c>
    </row>
    <row r="148" spans="1:4" x14ac:dyDescent="0.35">
      <c r="A148" s="1" t="s">
        <v>126</v>
      </c>
      <c r="B148" s="1" t="s">
        <v>48</v>
      </c>
      <c r="C148" s="1">
        <v>9999</v>
      </c>
      <c r="D148" s="1" t="str">
        <f t="shared" si="2"/>
        <v>128GB</v>
      </c>
    </row>
    <row r="149" spans="1:4" x14ac:dyDescent="0.35">
      <c r="A149" s="1" t="s">
        <v>146</v>
      </c>
      <c r="B149" s="1" t="s">
        <v>112</v>
      </c>
      <c r="C149" s="1">
        <v>69900</v>
      </c>
      <c r="D149" s="1" t="str">
        <f t="shared" si="2"/>
        <v>128GB</v>
      </c>
    </row>
    <row r="150" spans="1:4" x14ac:dyDescent="0.35">
      <c r="A150" s="1" t="s">
        <v>140</v>
      </c>
      <c r="B150" s="1" t="s">
        <v>113</v>
      </c>
      <c r="C150" s="1">
        <v>16999</v>
      </c>
      <c r="D150" s="1" t="str">
        <f t="shared" si="2"/>
        <v>128GB</v>
      </c>
    </row>
    <row r="151" spans="1:4" x14ac:dyDescent="0.35">
      <c r="A151" s="1" t="s">
        <v>140</v>
      </c>
      <c r="B151" s="1" t="s">
        <v>114</v>
      </c>
      <c r="C151" s="1">
        <v>11844</v>
      </c>
      <c r="D151" s="1" t="str">
        <f t="shared" si="2"/>
        <v>64GB</v>
      </c>
    </row>
    <row r="152" spans="1:4" x14ac:dyDescent="0.35">
      <c r="A152" s="1" t="s">
        <v>135</v>
      </c>
      <c r="B152" s="1" t="s">
        <v>54</v>
      </c>
      <c r="C152" s="1">
        <v>1994</v>
      </c>
      <c r="D152" s="1" t="str">
        <f t="shared" si="2"/>
        <v>64GB</v>
      </c>
    </row>
    <row r="153" spans="1:4" x14ac:dyDescent="0.35">
      <c r="A153" s="1" t="s">
        <v>126</v>
      </c>
      <c r="B153" s="1" t="s">
        <v>99</v>
      </c>
      <c r="C153" s="1">
        <v>15499</v>
      </c>
      <c r="D153" s="1" t="str">
        <f t="shared" si="2"/>
        <v>128GB</v>
      </c>
    </row>
    <row r="154" spans="1:4" x14ac:dyDescent="0.35">
      <c r="A154" s="1" t="s">
        <v>126</v>
      </c>
      <c r="B154" s="1" t="s">
        <v>62</v>
      </c>
      <c r="C154" s="1">
        <v>11499</v>
      </c>
      <c r="D154" s="1" t="str">
        <f t="shared" si="2"/>
        <v>128GB</v>
      </c>
    </row>
    <row r="155" spans="1:4" x14ac:dyDescent="0.35">
      <c r="A155" s="1" t="s">
        <v>141</v>
      </c>
      <c r="B155" s="1" t="s">
        <v>115</v>
      </c>
      <c r="C155" s="1">
        <v>480</v>
      </c>
      <c r="D155" s="1" t="str">
        <f t="shared" si="2"/>
        <v>64GB</v>
      </c>
    </row>
    <row r="156" spans="1:4" x14ac:dyDescent="0.35">
      <c r="A156" s="1" t="s">
        <v>128</v>
      </c>
      <c r="B156" s="1" t="s">
        <v>116</v>
      </c>
      <c r="C156" s="1">
        <v>21999</v>
      </c>
      <c r="D156" s="1" t="str">
        <f t="shared" si="2"/>
        <v>128GB</v>
      </c>
    </row>
    <row r="157" spans="1:4" x14ac:dyDescent="0.35">
      <c r="A157" s="1" t="s">
        <v>140</v>
      </c>
      <c r="B157" s="1" t="s">
        <v>117</v>
      </c>
      <c r="C157" s="1">
        <v>28999</v>
      </c>
      <c r="D157" s="1" t="str">
        <f t="shared" si="2"/>
        <v>64GB</v>
      </c>
    </row>
    <row r="158" spans="1:4" x14ac:dyDescent="0.35">
      <c r="A158" s="1" t="s">
        <v>142</v>
      </c>
      <c r="B158" s="1" t="s">
        <v>118</v>
      </c>
      <c r="C158" s="1">
        <v>21999</v>
      </c>
      <c r="D158" s="1" t="str">
        <f t="shared" si="2"/>
        <v>64GB</v>
      </c>
    </row>
    <row r="159" spans="1:4" x14ac:dyDescent="0.35">
      <c r="A159" s="1" t="s">
        <v>142</v>
      </c>
      <c r="B159" s="1" t="s">
        <v>119</v>
      </c>
      <c r="C159" s="1">
        <v>21999</v>
      </c>
      <c r="D159" s="1" t="str">
        <f t="shared" si="2"/>
        <v>64GB</v>
      </c>
    </row>
    <row r="160" spans="1:4" x14ac:dyDescent="0.35">
      <c r="A160" s="1" t="s">
        <v>127</v>
      </c>
      <c r="B160" s="1" t="s">
        <v>120</v>
      </c>
      <c r="C160" s="1">
        <v>29999</v>
      </c>
      <c r="D160" s="1" t="str">
        <f t="shared" si="2"/>
        <v>64GB</v>
      </c>
    </row>
    <row r="161" spans="1:4" x14ac:dyDescent="0.35">
      <c r="A161" s="1" t="s">
        <v>149</v>
      </c>
      <c r="B161" s="1" t="s">
        <v>121</v>
      </c>
      <c r="C161" s="1">
        <v>599</v>
      </c>
      <c r="D161" s="1" t="str">
        <f t="shared" si="2"/>
        <v>64GB</v>
      </c>
    </row>
    <row r="162" spans="1:4" x14ac:dyDescent="0.35">
      <c r="A162" s="1" t="s">
        <v>127</v>
      </c>
      <c r="B162" s="1" t="s">
        <v>122</v>
      </c>
      <c r="C162" s="1">
        <v>29999</v>
      </c>
      <c r="D162" s="1" t="str">
        <f t="shared" si="2"/>
        <v>64GB</v>
      </c>
    </row>
    <row r="163" spans="1:4" x14ac:dyDescent="0.35">
      <c r="A163" s="1" t="s">
        <v>140</v>
      </c>
      <c r="B163" s="1" t="s">
        <v>117</v>
      </c>
      <c r="C163" s="1">
        <v>26999</v>
      </c>
      <c r="D163" s="1" t="str">
        <f t="shared" si="2"/>
        <v>64GB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0ACB1C-DCF0-46A6-8200-44F05495F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 Count</vt:lpstr>
      <vt:lpstr>Average Price</vt:lpstr>
      <vt:lpstr>Storage Analysis</vt:lpstr>
      <vt:lpstr>Summary of EDA</vt:lpstr>
      <vt:lpstr>Data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Shrivastav</cp:lastModifiedBy>
  <cp:lastPrinted>2026-05-05T06:57:43Z</cp:lastPrinted>
  <dcterms:created xsi:type="dcterms:W3CDTF">2026-05-01T09:57:54Z</dcterms:created>
  <dcterms:modified xsi:type="dcterms:W3CDTF">2026-05-21T08:27:14Z</dcterms:modified>
</cp:coreProperties>
</file>