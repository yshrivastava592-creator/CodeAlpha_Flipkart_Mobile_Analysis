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f4142b4474bd5a/Documents/"/>
    </mc:Choice>
  </mc:AlternateContent>
  <xr:revisionPtr revIDLastSave="80" documentId="8_{00017745-C766-4CFF-8005-CEC04496A4A1}" xr6:coauthVersionLast="47" xr6:coauthVersionMax="47" xr10:uidLastSave="{4AA83F88-99D0-4B75-9106-9CA524482D30}"/>
  <bookViews>
    <workbookView xWindow="-110" yWindow="-110" windowWidth="19420" windowHeight="11500" xr2:uid="{66409BA6-9262-4E39-A18C-08878ECE8639}"/>
  </bookViews>
  <sheets>
    <sheet name="Table1_1" sheetId="3" r:id="rId1"/>
    <sheet name="Table1" sheetId="2" r:id="rId2"/>
    <sheet name="run_results" sheetId="1" r:id="rId3"/>
  </sheets>
  <definedNames>
    <definedName name="ExternalData_1" localSheetId="1" hidden="1">Table1!$A$1:$E$163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H2" i="3"/>
  <c r="I2" i="3"/>
  <c r="G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919467-17EF-4F1C-827D-B11CB79EF7D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7EE2FBF-CCE0-4C96-951A-31DA2BFCE80C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<sst xmlns="http://schemas.openxmlformats.org/spreadsheetml/2006/main" count="1487" uniqueCount="394">
  <si>
    <t>POCO C85x (Emerald Green, 64 GB)</t>
  </si>
  <si>
    <t>https://www.flipkart.com/poco-c85x-emerald-green-64-gb/p/itm96bce2b7909b7?pid=MOBHHFC8S2U92G5M&amp;lid=LSTMOBHHFC8S2U92G5MHPVL8Y&amp;marketplace=FLIPKART&amp;q=mobiles&amp;store=tyy%2F4io&amp;srno=s_1_1&amp;otracker=search&amp;otracker1=search&amp;fm=organic&amp;iid=ee17c768-8414-4074-8bec-491225ddcd0b.MOBHHFC8S2U92G5M.SEARCH&amp;ppt=None&amp;ppn=None&amp;ssid=t4y4w97als0000001777620052941&amp;qH=eb4af0bf07c16429&amp;ov_redirect=true</t>
  </si>
  <si>
    <t>MOTOROLA g67 power 5G (Pantone Parachute, 128 GB)</t>
  </si>
  <si>
    <t>https://www.flipkart.com/motorola-g67-power-5g-pantone-parachute-128-gb/p/itm983b978f3066a?pid=MOBHFSCEBA7G3HXN&amp;lid=LSTMOBHFSCEBA7G3HXNM6IXLV&amp;marketplace=FLIPKART&amp;q=mobiles&amp;store=tyy%2F4io&amp;srno=s_1_2&amp;otracker=search&amp;otracker1=search&amp;fm=organic&amp;iid=ee17c768-8414-4074-8bec-491225ddcd0b.MOBHFSCEBA7G3HXN.SEARCH&amp;ppt=None&amp;ppn=None&amp;ssid=t4y4w97als0000001777620052941&amp;qH=eb4af0bf07c16429&amp;ov_redirect=true</t>
  </si>
  <si>
    <t>REDMI A5 (Jaisalmer Gold, 64 GB)</t>
  </si>
  <si>
    <t>https://www.flipkart.com/redmi-a5-jaisalmer-gold-64-gb/p/itm2b4357effaa74?pid=MOBHB2HGH5DCFNWZ&amp;lid=LSTMOBHB2HGH5DCFNWZHAP4LG&amp;marketplace=FLIPKART&amp;q=mobiles&amp;store=tyy%2F4io&amp;srno=s_1_3&amp;otracker=search&amp;otracker1=search&amp;fm=organic&amp;iid=ee17c768-8414-4074-8bec-491225ddcd0b.MOBHB2HGH5DCFNWZ.SEARCH&amp;ppt=None&amp;ppn=None&amp;ssid=t4y4w97als0000001777620052941&amp;qH=eb4af0bf07c16429&amp;ov_redirect=true</t>
  </si>
  <si>
    <t>POCO C85x (Elite Black, 64 GB)</t>
  </si>
  <si>
    <t>https://www.flipkart.com/poco-c85x-elite-black-64-gb/p/itm0f0a9684d1e33?pid=MOBHHFC8JKRZRGFG&amp;lid=LSTMOBHHFC8JKRZRGFGMCA1D4&amp;marketplace=FLIPKART&amp;q=mobiles&amp;store=tyy%2F4io&amp;srno=s_1_4&amp;otracker=search&amp;otracker1=search&amp;fm=organic&amp;iid=ee17c768-8414-4074-8bec-491225ddcd0b.MOBHHFC8JKRZRGFG.SEARCH&amp;ppt=None&amp;ppn=None&amp;ssid=t4y4w97als0000001777620052941&amp;qH=eb4af0bf07c16429&amp;ov_redirect=true</t>
  </si>
  <si>
    <t>POCO C85x (Emerald Green, 128 GB)</t>
  </si>
  <si>
    <t>https://www.flipkart.com/poco-c85x-emerald-green-128-gb/p/itm2ed0d15dfc872?pid=MOBHHFC82ZZHCZDX&amp;lid=LSTMOBHHFC82ZZHCZDXWXSVTZ&amp;marketplace=FLIPKART&amp;q=mobiles&amp;store=tyy%2F4io&amp;srno=s_1_5&amp;otracker=search&amp;otracker1=search&amp;fm=organic&amp;iid=ee17c768-8414-4074-8bec-491225ddcd0b.MOBHHFC82ZZHCZDX.SEARCH&amp;ppt=None&amp;ppn=None&amp;ssid=t4y4w97als0000001777620052941&amp;qH=eb4af0bf07c16429&amp;ov_redirect=true</t>
  </si>
  <si>
    <t>realme P4 Lite 5G (Mosaic Green, 64 GB)</t>
  </si>
  <si>
    <t>https://www.flipkart.com/realme-p4-lite-5g-mosaic-green-64-gb/p/itm90c243961f214?pid=MOBHHFBUUUQNXRGX&amp;lid=LSTMOBHHFBUUUQNXRGXKR3NYG&amp;marketplace=FLIPKART&amp;q=mobiles&amp;store=tyy%2F4io&amp;srno=s_1_6&amp;otracker=search&amp;otracker1=search&amp;fm=organic&amp;iid=ee17c768-8414-4074-8bec-491225ddcd0b.MOBHHFBUUUQNXRGX.SEARCH&amp;ppt=None&amp;ppn=None&amp;ssid=t4y4w97als0000001777620052941&amp;qH=eb4af0bf07c16429&amp;ov_redirect=true</t>
  </si>
  <si>
    <t>REDMI Note 15 SE 5G (Crimson Reserve, 128 GB)</t>
  </si>
  <si>
    <t>https://www.flipkart.com/redmi-note-15-se-5g-crimson-reserve-128-gb/p/itm4981d1c5313df?pid=MOBHHAFATAJXVPAK&amp;lid=LSTMOBHHAFATAJXVPAKPZM5GZ&amp;marketplace=FLIPKART&amp;q=mobiles&amp;store=tyy%2F4io&amp;srno=s_1_7&amp;otracker=search&amp;otracker1=search&amp;fm=organic&amp;iid=ee17c768-8414-4074-8bec-491225ddcd0b.MOBHHAFATAJXVPAK.SEARCH&amp;ppt=None&amp;ppn=None&amp;ssid=t4y4w97als0000001777620052941&amp;qH=eb4af0bf07c16429&amp;ov_redirect=true</t>
  </si>
  <si>
    <t>ringme R1+ JUMBO</t>
  </si>
  <si>
    <t>https://www.flipkart.com/ringme-r1-jumbo/p/itmb064fd38b134e?pid=MOBH6AGBJFRYFDDU&amp;lid=LSTMOBH6AGBJFRYFDDUNIW9ZJ&amp;marketplace=FLIPKART&amp;q=mobiles&amp;store=tyy%2F4io&amp;srno=s_1_8&amp;otracker=search&amp;otracker1=search&amp;fm=organic&amp;iid=ee17c768-8414-4074-8bec-491225ddcd0b.MOBH6AGBJFRYFDDU.SEARCH&amp;ppt=None&amp;ppn=None&amp;ssid=t4y4w97als0000001777620052941&amp;qH=eb4af0bf07c16429&amp;ov_redirect=true</t>
  </si>
  <si>
    <t>POCO C85x (Sunset Gold, 64 GB)</t>
  </si>
  <si>
    <t>https://www.flipkart.com/poco-c85x-sunset-gold-64-gb/p/itm6b8cdd362c306?pid=MOBHHFC8MQWQ6ZUH&amp;lid=LSTMOBHHFC8MQWQ6ZUHH1EJLM&amp;marketplace=FLIPKART&amp;q=mobiles&amp;store=tyy%2F4io&amp;srno=s_1_9&amp;otracker=search&amp;otracker1=search&amp;fm=organic&amp;iid=ee17c768-8414-4074-8bec-491225ddcd0b.MOBHHFC8MQWQ6ZUH.SEARCH&amp;ppt=None&amp;ppn=None&amp;ssid=t4y4w97als0000001777620052941&amp;qH=eb4af0bf07c16429&amp;ov_redirect=true</t>
  </si>
  <si>
    <t>Ai+ Pulse 1 (Black, 64 GB)</t>
  </si>
  <si>
    <t>https://www.flipkart.com/ai-pulse-1-black-64-gb/p/itmbb72114516031?pid=MOBHDDQXWA6PBGZJ&amp;lid=LSTMOBHDDQXWA6PBGZJXM5IAG&amp;marketplace=FLIPKART&amp;q=mobiles&amp;store=tyy%2F4io&amp;srno=s_1_10&amp;otracker=search&amp;otracker1=search&amp;fm=organic&amp;iid=ee17c768-8414-4074-8bec-491225ddcd0b.MOBHDDQXWA6PBGZJ.SEARCH&amp;ppt=None&amp;ppn=None&amp;ssid=t4y4w97als0000001777620052941&amp;qH=eb4af0bf07c16429&amp;ov_redirect=true</t>
  </si>
  <si>
    <t>Ai+ Pulse 1 (Green, 64 GB)</t>
  </si>
  <si>
    <t>https://www.flipkart.com/ai-pulse-1-green-64-gb/p/itm90e25907f6424?pid=MOBHDDQXFEAF3HZF&amp;lid=LSTMOBHDDQXFEAF3HZFTNQHKW&amp;marketplace=FLIPKART&amp;q=mobiles&amp;store=tyy%2F4io&amp;srno=s_1_11&amp;otracker=search&amp;otracker1=search&amp;fm=organic&amp;iid=ee17c768-8414-4074-8bec-491225ddcd0b.MOBHDDQXFEAF3HZF.SEARCH&amp;ppt=None&amp;ppn=None&amp;ssid=t4y4w97als0000001777620052941&amp;qH=eb4af0bf07c16429&amp;ov_redirect=true</t>
  </si>
  <si>
    <t>Ai+ Pulse 2 (Purple, 64 GB)</t>
  </si>
  <si>
    <t>https://www.flipkart.com/ai-pulse-2-purple-64-gb/p/itmdc910ae2ff0c1?pid=MOBHKHPYQHGDVRTG&amp;lid=LSTMOBHKHPYQHGDVRTGHKLHJJ&amp;marketplace=FLIPKART&amp;q=mobiles&amp;store=tyy%2F4io&amp;srno=s_1_12&amp;otracker=search&amp;otracker1=search&amp;fm=organic&amp;iid=ee17c768-8414-4074-8bec-491225ddcd0b.MOBHKHPYQHGDVRTG.SEARCH&amp;ppt=None&amp;ppn=None&amp;ssid=t4y4w97als0000001777620052941&amp;qH=eb4af0bf07c16429&amp;ov_redirect=true</t>
  </si>
  <si>
    <t>MOTOROLA g06 power (Pantone tapestry, 64 GB)</t>
  </si>
  <si>
    <t>https://www.flipkart.com/motorola-g06-power-pantone-tapestry-64-gb/p/itmf590d83ca72c5?pid=MOBHFSCEW8DQVKDZ&amp;lid=LSTMOBHFSCEW8DQVKDZ2CWXCB&amp;marketplace=FLIPKART&amp;q=mobiles&amp;store=tyy%2F4io&amp;srno=s_1_13&amp;otracker=search&amp;otracker1=search&amp;fm=organic&amp;iid=ee17c768-8414-4074-8bec-491225ddcd0b.MOBHFSCEW8DQVKDZ.SEARCH&amp;ppt=None&amp;ppn=None&amp;ssid=t4y4w97als0000001777620052941&amp;qH=eb4af0bf07c16429&amp;ov_redirect=true</t>
  </si>
  <si>
    <t>realme P4 Lite (Beach Gold, 128 GB)</t>
  </si>
  <si>
    <t>https://www.flipkart.com/realme-p4-lite-beach-gold-128-gb/p/itm534024e2339ef?pid=MOBHK685K37ZCSPU&amp;lid=LSTMOBHK685K37ZCSPUTZ3SXB&amp;marketplace=FLIPKART&amp;q=mobiles&amp;store=tyy%2F4io&amp;srno=s_1_14&amp;otracker=search&amp;otracker1=search&amp;fm=organic&amp;iid=ee17c768-8414-4074-8bec-491225ddcd0b.MOBHK685K37ZCSPU.SEARCH&amp;ppt=None&amp;ppn=None&amp;ssid=t4y4w97als0000001777620052941&amp;qH=eb4af0bf07c16429&amp;ov_redirect=true</t>
  </si>
  <si>
    <t>Ai+ Pulse 1 (Blue, 64 GB)</t>
  </si>
  <si>
    <t>https://www.flipkart.com/ai-pulse-1-blue-64-gb/p/itm039eaa37b8fdb?pid=MOBHDDQXW4ZVQFFX&amp;lid=LSTMOBHDDQXW4ZVQFFXZCFXAD&amp;marketplace=FLIPKART&amp;q=mobiles&amp;store=tyy%2F4io&amp;srno=s_1_16&amp;otracker=search&amp;otracker1=search&amp;fm=organic&amp;iid=ee17c768-8414-4074-8bec-491225ddcd0b.MOBHDDQXW4ZVQFFX.SEARCH&amp;ppt=None&amp;ppn=None&amp;ssid=t4y4w97als0000001777620052941&amp;qH=eb4af0bf07c16429&amp;ov_redirect=true</t>
  </si>
  <si>
    <t>Jmax MINI</t>
  </si>
  <si>
    <t>https://www.flipkart.com/jmax-mini/p/itm0069c81679445?pid=MOBHATZHZYXYRSZ8&amp;lid=LSTMOBHATZHZYXYRSZ8SEHL7O&amp;marketplace=FLIPKART&amp;q=mobiles&amp;store=tyy%2F4io&amp;srno=s_1_17&amp;otracker=search&amp;otracker1=search&amp;fm=organic&amp;iid=ee17c768-8414-4074-8bec-491225ddcd0b.MOBHATZHZYXYRSZ8.SEARCH&amp;ppt=None&amp;ppn=None&amp;ssid=t4y4w97als0000001777620052941&amp;qH=eb4af0bf07c16429&amp;ov_redirect=true</t>
  </si>
  <si>
    <t>Ai+ Pulse 1 (Purple, 64 GB)</t>
  </si>
  <si>
    <t>https://www.flipkart.com/ai-pulse-1-purple-64-gb/p/itm70360c9dd322b?pid=MOBHDDQXZAC7RVHF&amp;lid=LSTMOBHDDQXZAC7RVHFZOAP8Z&amp;marketplace=FLIPKART&amp;q=mobiles&amp;store=tyy%2F4io&amp;srno=s_1_19&amp;otracker=search&amp;otracker1=search&amp;fm=organic&amp;iid=ee17c768-8414-4074-8bec-491225ddcd0b.MOBHDDQXZAC7RVHF.SEARCH&amp;ppt=None&amp;ppn=None&amp;ssid=t4y4w97als0000001777620052941&amp;qH=eb4af0bf07c16429&amp;ov_redirect=true</t>
  </si>
  <si>
    <t>MOTOROLA g57 power 5G (Pantone Corsair, 128 GB)</t>
  </si>
  <si>
    <t>https://www.flipkart.com/motorola-g57-power-5g-pantone-corsair-128-gb/p/itm9b745f1e67b5c?pid=MOBHGRFE8WBGKSKY&amp;lid=LSTMOBHGRFE8WBGKSKYEYKWBJ&amp;marketplace=FLIPKART&amp;q=mobiles&amp;store=tyy%2F4io&amp;srno=s_1_20&amp;otracker=search&amp;otracker1=search&amp;fm=organic&amp;iid=ee17c768-8414-4074-8bec-491225ddcd0b.MOBHGRFE8WBGKSKY.SEARCH&amp;ppt=None&amp;ppn=None&amp;ssid=t4y4w97als0000001777620052941&amp;qH=eb4af0bf07c16429&amp;ov_redirect=true</t>
  </si>
  <si>
    <t>itel it5262</t>
  </si>
  <si>
    <t>https://www.flipkart.com/itel-it5262/p/itm63f6528630ca6?pid=MOBGZF3X5NT5BMS9&amp;lid=LSTMOBGZF3X5NT5BMS98E9QPH&amp;marketplace=FLIPKART&amp;q=mobiles&amp;store=tyy%2F4io&amp;srno=s_1_22&amp;otracker=search&amp;otracker1=search&amp;fm=organic&amp;iid=ee17c768-8414-4074-8bec-491225ddcd0b.MOBGZF3X5NT5BMS9.SEARCH&amp;ppt=None&amp;ppn=None&amp;ssid=t4y4w97als0000001777620052941&amp;qH=eb4af0bf07c16429&amp;ov_redirect=true</t>
  </si>
  <si>
    <t>MOTOROLA Edge 70 Fusion (Pantone SILHOUETTE, 256 GB)</t>
  </si>
  <si>
    <t>https://www.flipkart.com/motorola-edge-70-fusion-pantone-silhouette-256-gb/p/itm4261a778cb993?pid=MOBHJ7TXQGMFR7D9&amp;lid=LSTMOBHJ7TXQGMFR7D9SD24SW&amp;marketplace=FLIPKART&amp;q=mobiles&amp;store=tyy%2F4io&amp;srno=s_1_23&amp;otracker=search&amp;otracker1=search&amp;fm=organic&amp;iid=ee17c768-8414-4074-8bec-491225ddcd0b.MOBHJ7TXQGMFR7D9.SEARCH&amp;ppt=None&amp;ppn=None&amp;ssid=t4y4w97als0000001777620052941&amp;qH=eb4af0bf07c16429&amp;ov_redirect=true</t>
  </si>
  <si>
    <t>POCO M7 Plus 5G (Chrome Silver, 128 GB)</t>
  </si>
  <si>
    <t>https://www.flipkart.com/poco-m7-plus-5g-chrome-silver-128-gb/p/itmf5c94088d643c?pid=MOBHETX6MCAZJYY2&amp;lid=LSTMOBHETX6MCAZJYY2IYDZFU&amp;marketplace=FLIPKART&amp;q=mobiles&amp;store=tyy%2F4io&amp;srno=s_1_24&amp;otracker=search&amp;otracker1=search&amp;fm=organic&amp;iid=ee17c768-8414-4074-8bec-491225ddcd0b.MOBHETX6MCAZJYY2.SEARCH&amp;ppt=None&amp;ppn=None&amp;ssid=t4y4w97als0000001777620052941&amp;qH=eb4af0bf07c16429&amp;ov_redirect=true</t>
  </si>
  <si>
    <t>MOTOROLA g35 5G (Guava Red, 128 GB)</t>
  </si>
  <si>
    <t>https://www.flipkart.com/motorola-g35-5g-guava-red-128-gb/p/itm39bba58f6cdfc?pid=MOBH3YGPWZZB9ZZK&amp;lid=LSTMOBH3YGPWZZB9ZZKFWIZWR&amp;marketplace=FLIPKART&amp;q=mobiles&amp;store=tyy%2F4io&amp;srno=s_2_25&amp;otracker=search&amp;otracker1=search&amp;fm=organic&amp;iid=bde295c1-3516-46d8-aad6-f485eb4d02a8.MOBH3YGPWZZB9ZZK.SEARCH&amp;ppt=None&amp;ppn=None&amp;ssid=qtbkhi0ms00000001777620064117&amp;qH=eb4af0bf07c16429&amp;ov_redirect=true</t>
  </si>
  <si>
    <t>REDMI A5 (Just Black, 64 GB)</t>
  </si>
  <si>
    <t>https://www.flipkart.com/redmi-a5-just-black-64-gb/p/itm2b4357effaa74?pid=MOBHB2HGNGFWXSGA&amp;lid=LSTMOBHB2HGNGFWXSGAEDTCWH&amp;marketplace=FLIPKART&amp;q=mobiles&amp;store=tyy%2F4io&amp;srno=s_2_26&amp;otracker=search&amp;otracker1=search&amp;fm=organic&amp;iid=bde295c1-3516-46d8-aad6-f485eb4d02a8.MOBHB2HGNGFWXSGA.SEARCH&amp;ppt=None&amp;ppn=None&amp;ssid=qtbkhi0ms00000001777620064117&amp;qH=eb4af0bf07c16429&amp;ov_redirect=true</t>
  </si>
  <si>
    <t>MOTOROLA Edge 60 Fusion 5G (PANTONE Mykonos Blue, 128 GB)</t>
  </si>
  <si>
    <t>https://www.flipkart.com/motorola-edge-60-fusion-5g-pantone-mykonos-blue-128-gb/p/itm921871063b6c7?pid=MOBHHD2KRZ23ZXGS&amp;lid=LSTMOBHHD2KRZ23ZXGS0RBVQE&amp;marketplace=FLIPKART&amp;q=mobiles&amp;store=tyy%2F4io&amp;srno=s_2_27&amp;otracker=search&amp;otracker1=search&amp;fm=organic&amp;iid=bde295c1-3516-46d8-aad6-f485eb4d02a8.MOBHHD2KRZ23ZXGS.SEARCH&amp;ppt=None&amp;ppn=None&amp;ssid=qtbkhi0ms00000001777620064117&amp;qH=eb4af0bf07c16429&amp;ov_redirect=true</t>
  </si>
  <si>
    <t>Samsung Galaxy F70e 5G (Spotlight Blue, 128 GB)</t>
  </si>
  <si>
    <t>https://www.flipkart.com/samsung-galaxy-f70e-5g-spotlight-blue-128-gb/p/itm61c2a75f6c91f?pid=MOBHK55ANBSGUGCJ&amp;lid=LSTMOBHK55ANBSGUGCJNVOP8K&amp;marketplace=FLIPKART&amp;q=mobiles&amp;store=tyy%2F4io&amp;srno=s_2_28&amp;otracker=search&amp;otracker1=search&amp;fm=organic&amp;iid=bde295c1-3516-46d8-aad6-f485eb4d02a8.MOBHK55ANBSGUGCJ.SEARCH&amp;ppt=None&amp;ppn=None&amp;ssid=qtbkhi0ms00000001777620064117&amp;qH=eb4af0bf07c16429&amp;ov_redirect=true</t>
  </si>
  <si>
    <t>POCO M7 Plus 5G (Carbon Black, 128 GB)</t>
  </si>
  <si>
    <t>https://www.flipkart.com/poco-m7-plus-5g-carbon-black-128-gb/p/itmb4301b9afe80c?pid=MOBHETX6NVUH8VPG&amp;lid=LSTMOBHETX6NVUH8VPGINMDBZ&amp;marketplace=FLIPKART&amp;q=mobiles&amp;store=tyy%2F4io&amp;srno=s_2_29&amp;otracker=search&amp;otracker1=search&amp;fm=organic&amp;iid=bde295c1-3516-46d8-aad6-f485eb4d02a8.MOBHETX6NVUH8VPG.SEARCH&amp;ppt=None&amp;ppn=None&amp;ssid=qtbkhi0ms00000001777620064117&amp;qH=eb4af0bf07c16429&amp;ov_redirect=true</t>
  </si>
  <si>
    <t>Samsung Galaxy F06 5G (Lit Violet, 128 GB)</t>
  </si>
  <si>
    <t>https://www.flipkart.com/samsung-galaxy-f06-5g-lit-violet-128-gb/p/itm140da3412b73b?pid=MOBH9AS4FA5RUHSY&amp;lid=LSTMOBH9AS4FA5RUHSYJWMWFX&amp;marketplace=FLIPKART&amp;q=mobiles&amp;store=tyy%2F4io&amp;srno=s_2_30&amp;otracker=search&amp;otracker1=search&amp;fm=organic&amp;iid=bde295c1-3516-46d8-aad6-f485eb4d02a8.MOBH9AS4FA5RUHSY.SEARCH&amp;ppt=None&amp;ppn=None&amp;ssid=qtbkhi0ms00000001777620064117&amp;qH=eb4af0bf07c16429&amp;ov_redirect=true</t>
  </si>
  <si>
    <t>Nokia 105 Classic Single Sim Keypad Phone, Without Charger</t>
  </si>
  <si>
    <t>https://www.flipkart.com/nokia-105-classic-single-sim-keypad-phone-without-charger/p/itmfdb404ec1d0f4?pid=MOBGWZUWPTFTQZAH&amp;lid=LSTMOBGWZUWPTFTQZAHSIXCDR&amp;marketplace=FLIPKART&amp;q=mobiles&amp;store=tyy%2F4io&amp;srno=s_2_31&amp;otracker=search&amp;otracker1=search&amp;fm=organic&amp;iid=bde295c1-3516-46d8-aad6-f485eb4d02a8.MOBGWZUWPTFTQZAH.SEARCH&amp;ppt=None&amp;ppn=None&amp;ssid=qtbkhi0ms00000001777620064117&amp;qH=eb4af0bf07c16429&amp;ov_redirect=true</t>
  </si>
  <si>
    <t>MOTOROLA g35 5G (Leaf Green, 128 GB)</t>
  </si>
  <si>
    <t>https://www.flipkart.com/motorola-g35-5g-leaf-green-128-gb/p/itmf1ec516a5574d?pid=MOBHFNAZBBBAJZAH&amp;lid=LSTMOBHFNAZBBBAJZAHVMHBGN&amp;marketplace=FLIPKART&amp;q=mobiles&amp;store=tyy%2F4io&amp;srno=s_2_32&amp;otracker=search&amp;otracker1=search&amp;fm=organic&amp;iid=bde295c1-3516-46d8-aad6-f485eb4d02a8.MOBHFNAZBBBAJZAH.SEARCH&amp;ppt=None&amp;ppn=None&amp;ssid=qtbkhi0ms00000001777620064117&amp;qH=eb4af0bf07c16429&amp;ov_redirect=true</t>
  </si>
  <si>
    <t>https://www.flipkart.com/samsung-galaxy-f70e-5g-spotlight-blue-128-gb/p/itm61c2a75f6c91f?pid=MOBHK55AG6VHCDYG&amp;lid=LSTMOBHK55AG6VHCDYGEKFMDM&amp;marketplace=FLIPKART&amp;q=mobiles&amp;store=tyy%2F4io&amp;srno=s_2_33&amp;otracker=search&amp;otracker1=search&amp;fm=organic&amp;iid=bde295c1-3516-46d8-aad6-f485eb4d02a8.MOBHK55AG6VHCDYG.SEARCH&amp;ppt=None&amp;ppn=None&amp;ssid=qtbkhi0ms00000001777620064117&amp;qH=eb4af0bf07c16429&amp;ov_redirect=true</t>
  </si>
  <si>
    <t>MOTOROLA G96 5G (Pantone Ashleigh Blue, 128 GB)</t>
  </si>
  <si>
    <t>https://www.flipkart.com/motorola-g96-5g-pantone-ashleigh-blue-128-gb/p/itm93452c0761719?pid=MOBHB3SZ2ZUQQQ9U&amp;lid=LSTMOBHB3SZ2ZUQQQ9U5BKC6D&amp;marketplace=FLIPKART&amp;q=mobiles&amp;store=tyy%2F4io&amp;srno=s_2_34&amp;otracker=search&amp;otracker1=search&amp;fm=organic&amp;iid=bde295c1-3516-46d8-aad6-f485eb4d02a8.MOBHB3SZ2ZUQQQ9U.SEARCH&amp;ppt=None&amp;ppn=None&amp;ssid=qtbkhi0ms00000001777620064117&amp;qH=eb4af0bf07c16429&amp;ov_redirect=true</t>
  </si>
  <si>
    <t>POCO C75 5G (Aqua Bliss, 64 GB)</t>
  </si>
  <si>
    <t>https://www.flipkart.com/poco-c75-5g-aqua-bliss-64-gb/p/itm10b3f6f1bc616?pid=MOBH7443MMBCWPPG&amp;lid=LSTMOBH7443MMBCWPPGVOR2LC&amp;marketplace=FLIPKART&amp;q=mobiles&amp;store=tyy%2F4io&amp;srno=s_2_35&amp;otracker=search&amp;otracker1=search&amp;fm=organic&amp;iid=bde295c1-3516-46d8-aad6-f485eb4d02a8.MOBH7443MMBCWPPG.SEARCH&amp;ppt=None&amp;ppn=None&amp;ssid=qtbkhi0ms00000001777620064117&amp;qH=eb4af0bf07c16429&amp;ov_redirect=true</t>
  </si>
  <si>
    <t>Samsung Galaxy F06 5G (Bahama Blue, 128 GB)</t>
  </si>
  <si>
    <t>https://www.flipkart.com/samsung-galaxy-f06-5g-bahama-blue-128-gb/p/itm58189fada62cb?pid=MOBH9AS47XHFRMJY&amp;lid=LSTMOBH9AS47XHFRMJY9HQ7QS&amp;marketplace=FLIPKART&amp;q=mobiles&amp;store=tyy%2F4io&amp;srno=s_2_36&amp;otracker=search&amp;otracker1=search&amp;fm=organic&amp;iid=bde295c1-3516-46d8-aad6-f485eb4d02a8.MOBH9AS47XHFRMJY.SEARCH&amp;ppt=None&amp;ppn=None&amp;ssid=qtbkhi0ms00000001777620064117&amp;qH=eb4af0bf07c16429&amp;ov_redirect=true</t>
  </si>
  <si>
    <t>Ai+ Pulse 2 (Blue, 64 GB)</t>
  </si>
  <si>
    <t>https://www.flipkart.com/ai-pulse-2-blue-64-gb/p/itm9168504534079?pid=MOBHKHPYZFF8KUPC&amp;lid=LSTMOBHKHPYZFF8KUPCXXI7UT&amp;marketplace=FLIPKART&amp;q=mobiles&amp;store=tyy%2F4io&amp;srno=s_2_37&amp;otracker=search&amp;otracker1=search&amp;fm=organic&amp;iid=bde295c1-3516-46d8-aad6-f485eb4d02a8.MOBHKHPYZFF8KUPC.SEARCH&amp;ppt=None&amp;ppn=None&amp;ssid=qtbkhi0ms00000001777620064117&amp;qH=eb4af0bf07c16429&amp;ov_redirect=true</t>
  </si>
  <si>
    <t>POCO C75 5G (Enchanted Green, 128 GB)</t>
  </si>
  <si>
    <t>https://www.flipkart.com/poco-c75-5g-enchanted-green-128-gb/p/itm39bf2169e7f3e?pid=MOBHBC3WQFWJX29G&amp;lid=LSTMOBHBC3WQFWJX29GXEY98P&amp;marketplace=FLIPKART&amp;q=mobiles&amp;store=tyy%2F4io&amp;srno=s_2_38&amp;otracker=search&amp;otracker1=search&amp;fm=organic&amp;iid=bde295c1-3516-46d8-aad6-f485eb4d02a8.MOBHBC3WQFWJX29G.SEARCH&amp;ppt=None&amp;ppn=None&amp;ssid=qtbkhi0ms00000001777620064117&amp;qH=eb4af0bf07c16429&amp;ov_redirect=true</t>
  </si>
  <si>
    <t>realme P4 Lite (Sea Blue, 128 GB)</t>
  </si>
  <si>
    <t>https://www.flipkart.com/realme-p4-lite-sea-blue-128-gb/p/itm534024e2339ef?pid=MOBHK685ZBEG6Y5H&amp;lid=LSTMOBHK685ZBEG6Y5HLV0LRO&amp;marketplace=FLIPKART&amp;q=mobiles&amp;store=tyy%2F4io&amp;srno=s_2_39&amp;otracker=search&amp;otracker1=search&amp;fm=organic&amp;iid=bde295c1-3516-46d8-aad6-f485eb4d02a8.MOBHK685ZBEG6Y5H.SEARCH&amp;ppt=None&amp;ppn=None&amp;ssid=qtbkhi0ms00000001777620064117&amp;qH=eb4af0bf07c16429&amp;ov_redirect=true</t>
  </si>
  <si>
    <t>REDMI Note 15 SE 5G (Crimson Reserve, 256 GB)</t>
  </si>
  <si>
    <t>https://www.flipkart.com/redmi-note-15-se-5g-crimson-reserve-256-gb/p/itm0a3d77a2bc839?pid=MOBHHAFAWGRRGRMU&amp;lid=LSTMOBHHAFAWGRRGRMUPD6TZD&amp;marketplace=FLIPKART&amp;q=mobiles&amp;store=tyy%2F4io&amp;srno=s_2_40&amp;otracker=search&amp;otracker1=search&amp;fm=organic&amp;iid=bde295c1-3516-46d8-aad6-f485eb4d02a8.MOBHHAFAWGRRGRMU.SEARCH&amp;ppt=None&amp;ppn=None&amp;ssid=qtbkhi0ms00000001777620064117&amp;qH=eb4af0bf07c16429&amp;ov_redirect=true</t>
  </si>
  <si>
    <t>https://www.flipkart.com/samsung-galaxy-f06-5g-lit-violet-128-gb/p/itm10bd1668b9bf2?pid=MOBH9AS4PUVXZ3RH&amp;lid=LSTMOBH9AS4PUVXZ3RHQVQG4J&amp;marketplace=FLIPKART&amp;q=mobiles&amp;store=tyy%2F4io&amp;srno=s_2_41&amp;otracker=search&amp;otracker1=search&amp;fm=organic&amp;iid=bde295c1-3516-46d8-aad6-f485eb4d02a8.MOBH9AS4PUVXZ3RH.SEARCH&amp;ppt=None&amp;ppn=None&amp;ssid=qtbkhi0ms00000001777620064117&amp;qH=eb4af0bf07c16429&amp;ov_redirect=true</t>
  </si>
  <si>
    <t>itel it5330 | 2.8 inch Big Display | 1900 mAh Battery | Kingvoice</t>
  </si>
  <si>
    <t>https://www.flipkart.com/itel-it5330-2-8-inch-big-display-1900-mah-battery-kingvoice/p/itmfb08600c266c4?pid=MOBGW5HBMFG5NJYH&amp;lid=LSTMOBGW5HBMFG5NJYHPAL1JK&amp;marketplace=FLIPKART&amp;q=mobiles&amp;store=tyy%2F4io&amp;srno=s_2_42&amp;otracker=search&amp;otracker1=search&amp;fm=organic&amp;iid=bde295c1-3516-46d8-aad6-f485eb4d02a8.MOBGW5HBMFG5NJYH.SEARCH&amp;ppt=None&amp;ppn=None&amp;ssid=qtbkhi0ms00000001777620064117&amp;qH=eb4af0bf07c16429&amp;ov_redirect=true</t>
  </si>
  <si>
    <t>Samsung Galaxy A07 LTE (Light Violet, 64 GB)</t>
  </si>
  <si>
    <t>https://www.flipkart.com/samsung-galaxy-a07-lte-light-violet-64-gb/p/itmf5c04712debfa?pid=MOBHG82ZTP4VBHYP&amp;lid=LSTMOBHG82ZTP4VBHYPD2DZRZ&amp;marketplace=FLIPKART&amp;q=mobiles&amp;store=tyy%2F4io&amp;srno=s_2_43&amp;otracker=search&amp;otracker1=search&amp;fm=organic&amp;iid=bde295c1-3516-46d8-aad6-f485eb4d02a8.MOBHG82ZTP4VBHYP.SEARCH&amp;ppt=None&amp;ppn=None&amp;ssid=qtbkhi0ms00000001777620064117&amp;qH=eb4af0bf07c16429&amp;ov_redirect=true</t>
  </si>
  <si>
    <t>MOTOROLA g67 power 5G (Pantone Cilantro, 128 GB)</t>
  </si>
  <si>
    <t>https://www.flipkart.com/motorola-g67-power-5g-pantone-cilantro-128-gb/p/itm2830c407450f8?pid=MOBHFSCEWFXTERWP&amp;lid=LSTMOBHFSCEWFXTERWPZ44O8K&amp;marketplace=FLIPKART&amp;q=mobiles&amp;store=tyy%2F4io&amp;srno=s_2_44&amp;otracker=search&amp;otracker1=search&amp;fm=organic&amp;iid=bde295c1-3516-46d8-aad6-f485eb4d02a8.MOBHFSCEWFXTERWP.SEARCH&amp;ppt=None&amp;ppn=None&amp;ssid=qtbkhi0ms00000001777620064117&amp;qH=eb4af0bf07c16429&amp;ov_redirect=true</t>
  </si>
  <si>
    <t>realme P4x 5G (Matte Silver, 256 GB)</t>
  </si>
  <si>
    <t>https://www.flipkart.com/realme-p4x-5g-matte-silver-256-gb/p/itm575b1540859e4?pid=MOBHHTPHKGSMJA3J&amp;lid=LSTMOBHHTPHKGSMJA3JRPE7AF&amp;marketplace=FLIPKART&amp;q=mobiles&amp;store=tyy%2F4io&amp;srno=s_2_45&amp;otracker=search&amp;otracker1=search&amp;fm=organic&amp;iid=bde295c1-3516-46d8-aad6-f485eb4d02a8.MOBHHTPHKGSMJA3J.SEARCH&amp;ppt=None&amp;ppn=None&amp;ssid=qtbkhi0ms00000001777620064117&amp;qH=eb4af0bf07c16429&amp;ov_redirect=true</t>
  </si>
  <si>
    <t>Samsung Galaxy F70e 5G (Limelight Green, 128 GB)</t>
  </si>
  <si>
    <t>https://www.flipkart.com/samsung-galaxy-f70e-5g-limelight-green-128-gb/p/itm9b75b980e9dae?pid=MOBHK55ADSJPFVBS&amp;lid=LSTMOBHK55ADSJPFVBSJF8HJH&amp;marketplace=FLIPKART&amp;q=mobiles&amp;store=tyy%2F4io&amp;srno=s_2_46&amp;otracker=search&amp;otracker1=search&amp;fm=organic&amp;iid=bde295c1-3516-46d8-aad6-f485eb4d02a8.MOBHK55ADSJPFVBS.SEARCH&amp;ppt=None&amp;ppn=None&amp;ssid=qtbkhi0ms00000001777620064117&amp;qH=eb4af0bf07c16429&amp;ov_redirect=true</t>
  </si>
  <si>
    <t>POCO C85x (Elite Black, 128 GB)</t>
  </si>
  <si>
    <t>https://www.flipkart.com/poco-c85x-elite-black-128-gb/p/itm7e422d0bdc317?pid=MOBHHFC85FVQZUSC&amp;lid=LSTMOBHHFC85FVQZUSCCVRGGM&amp;marketplace=FLIPKART&amp;q=mobiles&amp;store=tyy%2F4io&amp;srno=s_2_47&amp;otracker=search&amp;otracker1=search&amp;fm=organic&amp;iid=bde295c1-3516-46d8-aad6-f485eb4d02a8.MOBHHFC85FVQZUSC.SEARCH&amp;ppt=None&amp;ppn=None&amp;ssid=qtbkhi0ms00000001777620064117&amp;qH=eb4af0bf07c16429&amp;ov_redirect=true</t>
  </si>
  <si>
    <t>REDMI A4 (Sparkle Purple, 128 GB)</t>
  </si>
  <si>
    <t>https://www.flipkart.com/redmi-a4-sparkle-purple-128-gb/p/itm8e25b4acc1f5a?pid=MOBH6YHDGD57AVHX&amp;lid=LSTMOBH6YHDGD57AVHXEUADKJ&amp;marketplace=FLIPKART&amp;q=mobiles&amp;store=tyy%2F4io&amp;srno=s_2_48&amp;otracker=search&amp;otracker1=search&amp;fm=organic&amp;iid=bde295c1-3516-46d8-aad6-f485eb4d02a8.MOBH6YHDGD57AVHX.SEARCH&amp;ppt=None&amp;ppn=None&amp;ssid=qtbkhi0ms00000001777620064117&amp;qH=eb4af0bf07c16429&amp;ov_redirect=true</t>
  </si>
  <si>
    <t>https://www.flipkart.com/poco-c85x-emerald-green-64-gb/p/itm96bce2b7909b7?pid=MOBHHFC8S2U92G5M&amp;lid=LSTMOBHHFC8S2U92G5MHPVL8Y&amp;marketplace=FLIPKART&amp;q=mobiles&amp;store=tyy%2F4io&amp;srno=s_1_1&amp;otracker=search&amp;otracker1=search&amp;fm=organic&amp;iid=b0c81b4d-b793-4193-b499-032e4ae94eb2.MOBHHFC8S2U92G5M.SEARCH&amp;ppt=None&amp;ppn=None&amp;ssid=i6gmw4rrq80000001777620076043&amp;qH=eb4af0bf07c16429&amp;ov_redirect=true</t>
  </si>
  <si>
    <t>https://www.flipkart.com/motorola-g67-power-5g-pantone-parachute-128-gb/p/itm983b978f3066a?pid=MOBHFSCEBA7G3HXN&amp;lid=LSTMOBHFSCEBA7G3HXNM6IXLV&amp;marketplace=FLIPKART&amp;q=mobiles&amp;store=tyy%2F4io&amp;srno=s_1_2&amp;otracker=search&amp;otracker1=search&amp;fm=organic&amp;iid=b0c81b4d-b793-4193-b499-032e4ae94eb2.MOBHFSCEBA7G3HXN.SEARCH&amp;ppt=None&amp;ppn=None&amp;ssid=i6gmw4rrq80000001777620076043&amp;qH=eb4af0bf07c16429&amp;ov_redirect=true</t>
  </si>
  <si>
    <t>https://www.flipkart.com/redmi-a5-jaisalmer-gold-64-gb/p/itm2b4357effaa74?pid=MOBHB2HGH5DCFNWZ&amp;lid=LSTMOBHB2HGH5DCFNWZHAP4LG&amp;marketplace=FLIPKART&amp;q=mobiles&amp;store=tyy%2F4io&amp;srno=s_1_3&amp;otracker=search&amp;otracker1=search&amp;fm=organic&amp;iid=b0c81b4d-b793-4193-b499-032e4ae94eb2.MOBHB2HGH5DCFNWZ.SEARCH&amp;ppt=None&amp;ppn=None&amp;ssid=i6gmw4rrq80000001777620076043&amp;qH=eb4af0bf07c16429&amp;ov_redirect=true</t>
  </si>
  <si>
    <t>https://www.flipkart.com/poco-c85x-elite-black-64-gb/p/itm0f0a9684d1e33?pid=MOBHHFC8JKRZRGFG&amp;lid=LSTMOBHHFC8JKRZRGFGMCA1D4&amp;marketplace=FLIPKART&amp;q=mobiles&amp;store=tyy%2F4io&amp;srno=s_1_4&amp;otracker=search&amp;otracker1=search&amp;fm=organic&amp;iid=b0c81b4d-b793-4193-b499-032e4ae94eb2.MOBHHFC8JKRZRGFG.SEARCH&amp;ppt=None&amp;ppn=None&amp;ssid=i6gmw4rrq80000001777620076043&amp;qH=eb4af0bf07c16429&amp;ov_redirect=true</t>
  </si>
  <si>
    <t>https://www.flipkart.com/poco-c85x-emerald-green-128-gb/p/itm2ed0d15dfc872?pid=MOBHHFC82ZZHCZDX&amp;lid=LSTMOBHHFC82ZZHCZDXWXSVTZ&amp;marketplace=FLIPKART&amp;q=mobiles&amp;store=tyy%2F4io&amp;srno=s_1_5&amp;otracker=search&amp;otracker1=search&amp;fm=organic&amp;iid=b0c81b4d-b793-4193-b499-032e4ae94eb2.MOBHHFC82ZZHCZDX.SEARCH&amp;ppt=None&amp;ppn=None&amp;ssid=i6gmw4rrq80000001777620076043&amp;qH=eb4af0bf07c16429&amp;ov_redirect=true</t>
  </si>
  <si>
    <t>https://www.flipkart.com/realme-p4-lite-5g-mosaic-green-64-gb/p/itm90c243961f214?pid=MOBHHFBUUUQNXRGX&amp;lid=LSTMOBHHFBUUUQNXRGXKR3NYG&amp;marketplace=FLIPKART&amp;q=mobiles&amp;store=tyy%2F4io&amp;srno=s_1_6&amp;otracker=search&amp;otracker1=search&amp;fm=organic&amp;iid=b0c81b4d-b793-4193-b499-032e4ae94eb2.MOBHHFBUUUQNXRGX.SEARCH&amp;ppt=None&amp;ppn=None&amp;ssid=i6gmw4rrq80000001777620076043&amp;qH=eb4af0bf07c16429&amp;ov_redirect=true</t>
  </si>
  <si>
    <t>https://www.flipkart.com/redmi-note-15-se-5g-crimson-reserve-128-gb/p/itm4981d1c5313df?pid=MOBHHAFATAJXVPAK&amp;lid=LSTMOBHHAFATAJXVPAKPZM5GZ&amp;marketplace=FLIPKART&amp;q=mobiles&amp;store=tyy%2F4io&amp;srno=s_1_7&amp;otracker=search&amp;otracker1=search&amp;fm=organic&amp;iid=b0c81b4d-b793-4193-b499-032e4ae94eb2.MOBHHAFATAJXVPAK.SEARCH&amp;ppt=None&amp;ppn=None&amp;ssid=i6gmw4rrq80000001777620076043&amp;qH=eb4af0bf07c16429&amp;ov_redirect=true</t>
  </si>
  <si>
    <t>https://www.flipkart.com/ringme-r1-jumbo/p/itmb064fd38b134e?pid=MOBH6AGBJFRYFDDU&amp;lid=LSTMOBH6AGBJFRYFDDUNIW9ZJ&amp;marketplace=FLIPKART&amp;q=mobiles&amp;store=tyy%2F4io&amp;srno=s_1_8&amp;otracker=search&amp;otracker1=search&amp;fm=organic&amp;iid=b0c81b4d-b793-4193-b499-032e4ae94eb2.MOBH6AGBJFRYFDDU.SEARCH&amp;ppt=None&amp;ppn=None&amp;ssid=i6gmw4rrq80000001777620076043&amp;qH=eb4af0bf07c16429&amp;ov_redirect=true</t>
  </si>
  <si>
    <t>https://www.flipkart.com/poco-c85x-sunset-gold-64-gb/p/itm6b8cdd362c306?pid=MOBHHFC8MQWQ6ZUH&amp;lid=LSTMOBHHFC8MQWQ6ZUHH1EJLM&amp;marketplace=FLIPKART&amp;q=mobiles&amp;store=tyy%2F4io&amp;srno=s_1_9&amp;otracker=search&amp;otracker1=search&amp;fm=organic&amp;iid=b0c81b4d-b793-4193-b499-032e4ae94eb2.MOBHHFC8MQWQ6ZUH.SEARCH&amp;ppt=None&amp;ppn=None&amp;ssid=i6gmw4rrq80000001777620076043&amp;qH=eb4af0bf07c16429&amp;ov_redirect=true</t>
  </si>
  <si>
    <t>https://www.flipkart.com/ai-pulse-1-black-64-gb/p/itmbb72114516031?pid=MOBHDDQXWA6PBGZJ&amp;lid=LSTMOBHDDQXWA6PBGZJXM5IAG&amp;marketplace=FLIPKART&amp;q=mobiles&amp;store=tyy%2F4io&amp;srno=s_1_10&amp;otracker=search&amp;otracker1=search&amp;fm=organic&amp;iid=b0c81b4d-b793-4193-b499-032e4ae94eb2.MOBHDDQXWA6PBGZJ.SEARCH&amp;ppt=None&amp;ppn=None&amp;ssid=i6gmw4rrq80000001777620076043&amp;qH=eb4af0bf07c16429&amp;ov_redirect=true</t>
  </si>
  <si>
    <t>https://www.flipkart.com/ai-pulse-1-green-64-gb/p/itm90e25907f6424?pid=MOBHDDQXFEAF3HZF&amp;lid=LSTMOBHDDQXFEAF3HZFTNQHKW&amp;marketplace=FLIPKART&amp;q=mobiles&amp;store=tyy%2F4io&amp;srno=s_1_11&amp;otracker=search&amp;otracker1=search&amp;fm=organic&amp;iid=b0c81b4d-b793-4193-b499-032e4ae94eb2.MOBHDDQXFEAF3HZF.SEARCH&amp;ppt=None&amp;ppn=None&amp;ssid=i6gmw4rrq80000001777620076043&amp;qH=eb4af0bf07c16429&amp;ov_redirect=true</t>
  </si>
  <si>
    <t>https://www.flipkart.com/ai-pulse-2-purple-64-gb/p/itmdc910ae2ff0c1?pid=MOBHKHPYQHGDVRTG&amp;lid=LSTMOBHKHPYQHGDVRTGHKLHJJ&amp;marketplace=FLIPKART&amp;q=mobiles&amp;store=tyy%2F4io&amp;srno=s_1_12&amp;otracker=search&amp;otracker1=search&amp;fm=organic&amp;iid=b0c81b4d-b793-4193-b499-032e4ae94eb2.MOBHKHPYQHGDVRTG.SEARCH&amp;ppt=None&amp;ppn=None&amp;ssid=i6gmw4rrq80000001777620076043&amp;qH=eb4af0bf07c16429&amp;ov_redirect=true</t>
  </si>
  <si>
    <t>https://www.flipkart.com/motorola-g06-power-pantone-tapestry-64-gb/p/itmf590d83ca72c5?pid=MOBHFSCEW8DQVKDZ&amp;lid=LSTMOBHFSCEW8DQVKDZ2CWXCB&amp;marketplace=FLIPKART&amp;q=mobiles&amp;store=tyy%2F4io&amp;srno=s_1_13&amp;otracker=search&amp;otracker1=search&amp;fm=organic&amp;iid=b0c81b4d-b793-4193-b499-032e4ae94eb2.MOBHFSCEW8DQVKDZ.SEARCH&amp;ppt=None&amp;ppn=None&amp;ssid=i6gmw4rrq80000001777620076043&amp;qH=eb4af0bf07c16429&amp;ov_redirect=true</t>
  </si>
  <si>
    <t>https://www.flipkart.com/realme-p4-lite-beach-gold-128-gb/p/itm534024e2339ef?pid=MOBHK685K37ZCSPU&amp;lid=LSTMOBHK685K37ZCSPUTZ3SXB&amp;marketplace=FLIPKART&amp;q=mobiles&amp;store=tyy%2F4io&amp;srno=s_1_14&amp;otracker=search&amp;otracker1=search&amp;fm=organic&amp;iid=b0c81b4d-b793-4193-b499-032e4ae94eb2.MOBHK685K37ZCSPU.SEARCH&amp;ppt=None&amp;ppn=None&amp;ssid=i6gmw4rrq80000001777620076043&amp;qH=eb4af0bf07c16429&amp;ov_redirect=true</t>
  </si>
  <si>
    <t>https://www.flipkart.com/ai-pulse-1-blue-64-gb/p/itm039eaa37b8fdb?pid=MOBHDDQXW4ZVQFFX&amp;lid=LSTMOBHDDQXW4ZVQFFXZCFXAD&amp;marketplace=FLIPKART&amp;q=mobiles&amp;store=tyy%2F4io&amp;srno=s_1_16&amp;otracker=search&amp;otracker1=search&amp;fm=organic&amp;iid=b0c81b4d-b793-4193-b499-032e4ae94eb2.MOBHDDQXW4ZVQFFX.SEARCH&amp;ppt=None&amp;ppn=None&amp;ssid=i6gmw4rrq80000001777620076043&amp;qH=eb4af0bf07c16429&amp;ov_redirect=true</t>
  </si>
  <si>
    <t>https://www.flipkart.com/jmax-mini/p/itm0069c81679445?pid=MOBHATZHZYXYRSZ8&amp;lid=LSTMOBHATZHZYXYRSZ8SEHL7O&amp;marketplace=FLIPKART&amp;q=mobiles&amp;store=tyy%2F4io&amp;srno=s_1_17&amp;otracker=search&amp;otracker1=search&amp;fm=organic&amp;iid=b0c81b4d-b793-4193-b499-032e4ae94eb2.MOBHATZHZYXYRSZ8.SEARCH&amp;ppt=None&amp;ppn=None&amp;ssid=i6gmw4rrq80000001777620076043&amp;qH=eb4af0bf07c16429&amp;ov_redirect=true</t>
  </si>
  <si>
    <t>https://www.flipkart.com/ai-pulse-1-purple-64-gb/p/itm70360c9dd322b?pid=MOBHDDQXZAC7RVHF&amp;lid=LSTMOBHDDQXZAC7RVHFZOAP8Z&amp;marketplace=FLIPKART&amp;q=mobiles&amp;store=tyy%2F4io&amp;srno=s_1_19&amp;otracker=search&amp;otracker1=search&amp;fm=organic&amp;iid=b0c81b4d-b793-4193-b499-032e4ae94eb2.MOBHDDQXZAC7RVHF.SEARCH&amp;ppt=None&amp;ppn=None&amp;ssid=i6gmw4rrq80000001777620076043&amp;qH=eb4af0bf07c16429&amp;ov_redirect=true</t>
  </si>
  <si>
    <t>https://www.flipkart.com/motorola-g57-power-5g-pantone-corsair-128-gb/p/itm9b745f1e67b5c?pid=MOBHGRFE8WBGKSKY&amp;lid=LSTMOBHGRFE8WBGKSKYEYKWBJ&amp;marketplace=FLIPKART&amp;q=mobiles&amp;store=tyy%2F4io&amp;srno=s_1_20&amp;otracker=search&amp;otracker1=search&amp;fm=organic&amp;iid=b0c81b4d-b793-4193-b499-032e4ae94eb2.MOBHGRFE8WBGKSKY.SEARCH&amp;ppt=None&amp;ppn=None&amp;ssid=i6gmw4rrq80000001777620076043&amp;qH=eb4af0bf07c16429&amp;ov_redirect=true</t>
  </si>
  <si>
    <t>https://www.flipkart.com/itel-it5262/p/itm63f6528630ca6?pid=MOBGZF3X5NT5BMS9&amp;lid=LSTMOBGZF3X5NT5BMS98E9QPH&amp;marketplace=FLIPKART&amp;q=mobiles&amp;store=tyy%2F4io&amp;srno=s_1_22&amp;otracker=search&amp;otracker1=search&amp;fm=organic&amp;iid=b0c81b4d-b793-4193-b499-032e4ae94eb2.MOBGZF3X5NT5BMS9.SEARCH&amp;ppt=None&amp;ppn=None&amp;ssid=i6gmw4rrq80000001777620076043&amp;qH=eb4af0bf07c16429&amp;ov_redirect=true</t>
  </si>
  <si>
    <t>https://www.flipkart.com/motorola-edge-70-fusion-pantone-silhouette-256-gb/p/itm4261a778cb993?pid=MOBHJ7TXQGMFR7D9&amp;lid=LSTMOBHJ7TXQGMFR7D9SD24SW&amp;marketplace=FLIPKART&amp;q=mobiles&amp;store=tyy%2F4io&amp;srno=s_1_23&amp;otracker=search&amp;otracker1=search&amp;fm=organic&amp;iid=b0c81b4d-b793-4193-b499-032e4ae94eb2.MOBHJ7TXQGMFR7D9.SEARCH&amp;ppt=None&amp;ppn=None&amp;ssid=i6gmw4rrq80000001777620076043&amp;qH=eb4af0bf07c16429&amp;ov_redirect=true</t>
  </si>
  <si>
    <t>https://www.flipkart.com/poco-m7-plus-5g-chrome-silver-128-gb/p/itmf5c94088d643c?pid=MOBHETX6MCAZJYY2&amp;lid=LSTMOBHETX6MCAZJYY2IYDZFU&amp;marketplace=FLIPKART&amp;q=mobiles&amp;store=tyy%2F4io&amp;srno=s_1_24&amp;otracker=search&amp;otracker1=search&amp;fm=organic&amp;iid=b0c81b4d-b793-4193-b499-032e4ae94eb2.MOBHETX6MCAZJYY2.SEARCH&amp;ppt=None&amp;ppn=None&amp;ssid=i6gmw4rrq80000001777620076043&amp;qH=eb4af0bf07c16429&amp;ov_redirect=true</t>
  </si>
  <si>
    <t>Alcatel V3 Pro 5G (Matcha Green, 256 GB)</t>
  </si>
  <si>
    <t>https://www.flipkart.com/alcatel-v3-pro-5g-matcha-green-256-gb/p/itm5bbabc254f34c?pid=MOBHBH2GDRA6MMGK&amp;lid=LSTMOBHBH2GDRA6MMGKSARY5J&amp;marketplace=FLIPKART&amp;q=mobiles&amp;store=tyy%2F4io&amp;srno=s_3_49&amp;otracker=search&amp;otracker1=search&amp;fm=organic&amp;iid=0cc328c0-4474-4201-8be4-a0cd716f39d0.MOBHBH2GDRA6MMGK.SEARCH&amp;ppt=None&amp;ppn=None&amp;ssid=c7fgpo2xc00000001777620087866&amp;qH=eb4af0bf07c16429&amp;ov_redirect=true</t>
  </si>
  <si>
    <t>Samsung Galaxy F07 (Green, 64 GB)</t>
  </si>
  <si>
    <t>https://www.flipkart.com/samsung-galaxy-f07-green-64-gb/p/itm294cbb65839e6?pid=MOBHMGHHXHYZEAVB&amp;lid=LSTMOBHMGHHXHYZEAVBR68SR7&amp;marketplace=FLIPKART&amp;q=mobiles&amp;store=tyy%2F4io&amp;srno=s_3_50&amp;otracker=search&amp;otracker1=search&amp;fm=organic&amp;iid=0cc328c0-4474-4201-8be4-a0cd716f39d0.MOBHMGHHXHYZEAVB.SEARCH&amp;ppt=None&amp;ppn=None&amp;ssid=c7fgpo2xc00000001777620087866&amp;qH=eb4af0bf07c16429&amp;ov_redirect=true</t>
  </si>
  <si>
    <t>LAVA A3 King</t>
  </si>
  <si>
    <t>https://www.flipkart.com/lava-a3-king/p/itm4ab54e8e4eb20?pid=MOBHENFBCQKK5MPD&amp;lid=LSTMOBHENFBCQKK5MPDMX5KSX&amp;marketplace=FLIPKART&amp;q=mobiles&amp;store=tyy%2F4io&amp;srno=s_3_51&amp;otracker=search&amp;otracker1=search&amp;fm=organic&amp;iid=0cc328c0-4474-4201-8be4-a0cd716f39d0.MOBHENFBCQKK5MPD.SEARCH&amp;ppt=None&amp;ppn=None&amp;ssid=c7fgpo2xc00000001777620087866&amp;qH=eb4af0bf07c16429&amp;ov_redirect=true</t>
  </si>
  <si>
    <t>Jmax Super 1</t>
  </si>
  <si>
    <t>https://www.flipkart.com/jmax-super-1/p/itme32a588dd99a6?pid=MOBH76KZFFCAZYAX&amp;lid=LSTMOBH76KZFFCAZYAX26W4DF&amp;marketplace=FLIPKART&amp;q=mobiles&amp;store=tyy%2F4io&amp;srno=s_3_52&amp;otracker=search&amp;otracker1=search&amp;fm=organic&amp;iid=0cc328c0-4474-4201-8be4-a0cd716f39d0.MOBH76KZFFCAZYAX.SEARCH&amp;ppt=None&amp;ppn=None&amp;ssid=c7fgpo2xc00000001777620087866&amp;qH=eb4af0bf07c16429&amp;ov_redirect=true</t>
  </si>
  <si>
    <t>POCO C75 5G (Enchanted Green, 64 GB)</t>
  </si>
  <si>
    <t>https://www.flipkart.com/poco-c75-5g-enchanted-green-64-gb/p/itmf8fdd88f80fcc?pid=MOBH7443VEGWXG4G&amp;lid=LSTMOBH7443VEGWXG4GOW118G&amp;marketplace=FLIPKART&amp;q=mobiles&amp;store=tyy%2F4io&amp;srno=s_3_53&amp;otracker=search&amp;otracker1=search&amp;fm=organic&amp;iid=0cc328c0-4474-4201-8be4-a0cd716f39d0.MOBH7443VEGWXG4G.SEARCH&amp;ppt=None&amp;ppn=None&amp;ssid=c7fgpo2xc00000001777620087866&amp;qH=eb4af0bf07c16429&amp;ov_redirect=true</t>
  </si>
  <si>
    <t>POCO C71 (Cool Blue, 128 GB)</t>
  </si>
  <si>
    <t>https://www.flipkart.com/poco-c71-cool-blue-128-gb/p/itmfb10bdbf02c6e?pid=MOBHAFVJURDB9QYR&amp;lid=LSTMOBHAFVJURDB9QYRYNBHTJ&amp;marketplace=FLIPKART&amp;q=mobiles&amp;store=tyy%2F4io&amp;srno=s_3_54&amp;otracker=search&amp;otracker1=search&amp;fm=organic&amp;iid=0cc328c0-4474-4201-8be4-a0cd716f39d0.MOBHAFVJURDB9QYR.SEARCH&amp;ppt=None&amp;ppn=None&amp;ssid=c7fgpo2xc00000001777620087866&amp;qH=eb4af0bf07c16429&amp;ov_redirect=true</t>
  </si>
  <si>
    <t>Nokia 106 Single Sim Keypad Phone with Built-in UPI App, MP3 Player</t>
  </si>
  <si>
    <t>https://www.flipkart.com/nokia-106-single-sim-keypad-phone-built-in-upi-app-mp3-player/p/itm5486a2da326c2?pid=MOBGRH6YEGJTZQAY&amp;lid=LSTMOBGRH6YEGJTZQAYVIXF3O&amp;marketplace=FLIPKART&amp;q=mobiles&amp;store=tyy%2F4io&amp;srno=s_3_55&amp;otracker=search&amp;otracker1=search&amp;fm=organic&amp;iid=0cc328c0-4474-4201-8be4-a0cd716f39d0.MOBGRH6YEGJTZQAY.SEARCH&amp;ppt=None&amp;ppn=None&amp;ssid=c7fgpo2xc00000001777620087866&amp;qH=eb4af0bf07c16429&amp;ov_redirect=true</t>
  </si>
  <si>
    <t>MOTOROLA G96 5G (Pantone Dresden Blue, 128 GB)</t>
  </si>
  <si>
    <t>https://www.flipkart.com/motorola-g96-5g-pantone-dresden-blue-128-gb/p/itm3d5ad13991fdc?pid=MOBHB3SZW72BYGHK&amp;lid=LSTMOBHB3SZW72BYGHKYVOADG&amp;marketplace=FLIPKART&amp;q=mobiles&amp;store=tyy%2F4io&amp;srno=s_3_56&amp;otracker=search&amp;otracker1=search&amp;fm=organic&amp;iid=0cc328c0-4474-4201-8be4-a0cd716f39d0.MOBHB3SZW72BYGHK.SEARCH&amp;ppt=None&amp;ppn=None&amp;ssid=c7fgpo2xc00000001777620087866&amp;qH=eb4af0bf07c16429&amp;ov_redirect=true</t>
  </si>
  <si>
    <t>https://www.flipkart.com/poco-m7-plus-5g-chrome-silver-128-gb/p/itm2fbc82f08965c?pid=MOBHETX6TDHCH3VV&amp;lid=LSTMOBHETX6TDHCH3VVZCHZS8&amp;marketplace=FLIPKART&amp;q=mobiles&amp;store=tyy%2F4io&amp;srno=s_3_57&amp;otracker=search&amp;otracker1=search&amp;fm=organic&amp;iid=0cc328c0-4474-4201-8be4-a0cd716f39d0.MOBHETX6TDHCH3VV.SEARCH&amp;ppt=None&amp;ppn=None&amp;ssid=c7fgpo2xc00000001777620087866&amp;qH=eb4af0bf07c16429&amp;ov_redirect=true</t>
  </si>
  <si>
    <t>IQOO Z11x 5G (Prismatic Green, 128 GB)</t>
  </si>
  <si>
    <t>https://www.flipkart.com/iqoo-z11x-5g-prismatic-green-128-gb/p/itm8157cfb5645d4?pid=MOBHHHBTCWXSUNG5&amp;lid=LSTMOBHHHBTCWXSUNG53FUGZW&amp;marketplace=FLIPKART&amp;q=mobiles&amp;store=tyy%2F4io&amp;srno=s_3_58&amp;otracker=search&amp;otracker1=search&amp;fm=organic&amp;iid=0cc328c0-4474-4201-8be4-a0cd716f39d0.MOBHHHBTCWXSUNG5.SEARCH&amp;ppt=None&amp;ppn=None&amp;ssid=c7fgpo2xc00000001777620087866&amp;qH=eb4af0bf07c16429&amp;ov_redirect=true</t>
  </si>
  <si>
    <t>MOTOROLA Edge 70 Fusion (Pantone SILHOUETTE, 128 GB)</t>
  </si>
  <si>
    <t>https://www.flipkart.com/motorola-edge-70-fusion-pantone-silhouette-128-gb/p/itmea2471033901a?pid=MOBHJ7TXN7CGKUYZ&amp;lid=LSTMOBHJ7TXN7CGKUYZGAEDHA&amp;marketplace=FLIPKART&amp;q=mobiles&amp;store=tyy%2F4io&amp;srno=s_3_59&amp;otracker=search&amp;otracker1=search&amp;fm=organic&amp;iid=0cc328c0-4474-4201-8be4-a0cd716f39d0.MOBHJ7TXN7CGKUYZ.SEARCH&amp;ppt=None&amp;ppn=None&amp;ssid=c7fgpo2xc00000001777620087866&amp;qH=eb4af0bf07c16429&amp;ov_redirect=true</t>
  </si>
  <si>
    <t>Samsung Galaxy M07 (Black, 64 GB)</t>
  </si>
  <si>
    <t>https://www.flipkart.com/samsung-galaxy-m07-black-64-gb/p/itm0b84fbcd25ac9?pid=MOBHGWKEV2HYWMQP&amp;lid=LSTMOBHGWKEV2HYWMQPYQYBDG&amp;marketplace=FLIPKART&amp;q=mobiles&amp;store=tyy%2F4io&amp;srno=s_3_60&amp;otracker=search&amp;otracker1=search&amp;fm=organic&amp;iid=0cc328c0-4474-4201-8be4-a0cd716f39d0.MOBHGWKEV2HYWMQP.SEARCH&amp;ppt=None&amp;ppn=None&amp;ssid=c7fgpo2xc00000001777620087866&amp;qH=eb4af0bf07c16429&amp;ov_redirect=true</t>
  </si>
  <si>
    <t>Nokia 130 Music Dual Sim with Music Player, Dedicated Music Buttons</t>
  </si>
  <si>
    <t>https://www.flipkart.com/nokia-130-music-dual-sim-player-dedicated-buttons/p/itm221dea7e0ca49?pid=MOBGSFECGGXAPF5B&amp;lid=LSTMOBGSFECGGXAPF5BGPRPZS&amp;marketplace=FLIPKART&amp;q=mobiles&amp;store=tyy%2F4io&amp;srno=s_3_61&amp;otracker=search&amp;otracker1=search&amp;fm=organic&amp;iid=0cc328c0-4474-4201-8be4-a0cd716f39d0.MOBGSFECGGXAPF5B.SEARCH&amp;ppt=None&amp;ppn=None&amp;ssid=c7fgpo2xc00000001777620087866&amp;qH=eb4af0bf07c16429&amp;ov_redirect=true</t>
  </si>
  <si>
    <t>realme Narzo 90x 5G (Maroon Red, 128 GB)</t>
  </si>
  <si>
    <t>https://www.flipkart.com/realme-narzo-90x-5g-maroon-red-128-gb/p/itma63c5c5ce781a?pid=MOBHKZZY3EHDY8FN&amp;lid=LSTMOBHKZZY3EHDY8FNAOECXA&amp;marketplace=FLIPKART&amp;q=mobiles&amp;store=tyy%2F4io&amp;srno=s_3_62&amp;otracker=search&amp;otracker1=search&amp;fm=organic&amp;iid=0cc328c0-4474-4201-8be4-a0cd716f39d0.MOBHKZZY3EHDY8FN.SEARCH&amp;ppt=None&amp;ppn=None&amp;ssid=c7fgpo2xc00000001777620087866&amp;qH=eb4af0bf07c16429&amp;ov_redirect=true</t>
  </si>
  <si>
    <t>Ai+ Pulse 2 (Pink, 128 GB)</t>
  </si>
  <si>
    <t>https://www.flipkart.com/ai-pulse-2-pink-128-gb/p/itmb008cccbf54ee?pid=MOBHKHPYRZEZJ7AY&amp;lid=LSTMOBHKHPYRZEZJ7AYHXPDFB&amp;marketplace=FLIPKART&amp;q=mobiles&amp;store=tyy%2F4io&amp;srno=s_3_63&amp;otracker=search&amp;otracker1=search&amp;fm=organic&amp;iid=0cc328c0-4474-4201-8be4-a0cd716f39d0.MOBHKHPYRZEZJ7AY.SEARCH&amp;ppt=None&amp;ppn=None&amp;ssid=c7fgpo2xc00000001777620087866&amp;qH=eb4af0bf07c16429&amp;ov_redirect=true</t>
  </si>
  <si>
    <t>Samsung M36 5G (Velvet Black / Black, 128 GB)</t>
  </si>
  <si>
    <t>https://www.flipkart.com/samsung-m36-5g-velvet-black-black-128-gb/p/itm1e7be51802033?pid=MOBHEYY2FCCGHYEM&amp;lid=LSTMOBHEYY2FCCGHYEMSWFT3J&amp;marketplace=FLIPKART&amp;q=mobiles&amp;store=tyy%2F4io&amp;srno=s_3_64&amp;otracker=search&amp;otracker1=search&amp;fm=organic&amp;iid=0cc328c0-4474-4201-8be4-a0cd716f39d0.MOBHEYY2FCCGHYEM.SEARCH&amp;ppt=None&amp;ppn=None&amp;ssid=c7fgpo2xc00000001777620087866&amp;qH=eb4af0bf07c16429&amp;ov_redirect=true</t>
  </si>
  <si>
    <t>Nokia All-New 105 Single Sim Keypad Phone with Built-in UPI Payments</t>
  </si>
  <si>
    <t>https://www.flipkart.com/nokia-all-new-105-single-sim-keypad-phone-built-in-upi-payments/p/itme2299749c4a1c?pid=MOBGQFVG9WPRN3TH&amp;lid=LSTMOBGQFVG9WPRN3THQXALSS&amp;marketplace=FLIPKART&amp;q=mobiles&amp;store=tyy%2F4io&amp;srno=s_3_65&amp;otracker=search&amp;otracker1=search&amp;fm=organic&amp;iid=0cc328c0-4474-4201-8be4-a0cd716f39d0.MOBGQFVG9WPRN3TH.SEARCH&amp;ppt=None&amp;ppn=None&amp;ssid=c7fgpo2xc00000001777620087866&amp;qH=eb4af0bf07c16429&amp;ov_redirect=true</t>
  </si>
  <si>
    <t>MOTOROLA Edge 60 Fusion 5G (PANTONE Amazonite, 128 GB)</t>
  </si>
  <si>
    <t>https://www.flipkart.com/motorola-edge-60-fusion-5g-pantone-amazonite-128-gb/p/itm0ba5c1f57331a?pid=MOBHHD2KXMH9NCYG&amp;lid=LSTMOBHHD2KXMH9NCYGOY7CC7&amp;marketplace=FLIPKART&amp;q=mobiles&amp;store=tyy%2F4io&amp;srno=s_3_66&amp;otracker=search&amp;otracker1=search&amp;fm=organic&amp;iid=0cc328c0-4474-4201-8be4-a0cd716f39d0.MOBHHD2KXMH9NCYG.SEARCH&amp;ppt=None&amp;ppn=None&amp;ssid=c7fgpo2xc00000001777620087866&amp;qH=eb4af0bf07c16429&amp;ov_redirect=true</t>
  </si>
  <si>
    <t>Micromax X778</t>
  </si>
  <si>
    <t>https://www.flipkart.com/micromax-x778/p/itm372cb161da595?pid=MOBG6XZB4WJJ6MRJ&amp;lid=LSTMOBG6XZB4WJJ6MRJRXTLJF&amp;marketplace=FLIPKART&amp;q=mobiles&amp;store=tyy%2F4io&amp;srno=s_3_67&amp;otracker=search&amp;otracker1=search&amp;fm=organic&amp;iid=0cc328c0-4474-4201-8be4-a0cd716f39d0.MOBG6XZB4WJJ6MRJ.SEARCH&amp;ppt=None&amp;ppn=None&amp;ssid=c7fgpo2xc00000001777620087866&amp;qH=eb4af0bf07c16429&amp;ov_redirect=true</t>
  </si>
  <si>
    <t>Samsung Galaxy A07 LTE (Green, 64 GB)</t>
  </si>
  <si>
    <t>https://www.flipkart.com/samsung-galaxy-a07-lte-green-64-gb/p/itmf5c04712debfa?pid=MOBHG82Z2HGBWNCP&amp;lid=LSTMOBHG82Z2HGBWNCP8GPTHW&amp;marketplace=FLIPKART&amp;q=mobiles&amp;store=tyy%2F4io&amp;srno=s_3_68&amp;otracker=search&amp;otracker1=search&amp;fm=organic&amp;iid=0cc328c0-4474-4201-8be4-a0cd716f39d0.MOBHG82Z2HGBWNCP.SEARCH&amp;ppt=None&amp;ppn=None&amp;ssid=c7fgpo2xc00000001777620087866&amp;qH=eb4af0bf07c16429&amp;ov_redirect=true</t>
  </si>
  <si>
    <t>POCO C75 5G (Aqua Bliss, 128 GB)</t>
  </si>
  <si>
    <t>https://www.flipkart.com/poco-c75-5g-aqua-bliss-128-gb/p/itmc8ac71aacc115?pid=MOBHBC3WFGTCNDD7&amp;lid=LSTMOBHBC3WFGTCNDD7MLABCF&amp;marketplace=FLIPKART&amp;q=mobiles&amp;store=tyy%2F4io&amp;srno=s_3_69&amp;otracker=search&amp;otracker1=search&amp;fm=organic&amp;iid=0cc328c0-4474-4201-8be4-a0cd716f39d0.MOBHBC3WFGTCNDD7.SEARCH&amp;ppt=None&amp;ppn=None&amp;ssid=c7fgpo2xc00000001777620087866&amp;qH=eb4af0bf07c16429&amp;ov_redirect=true</t>
  </si>
  <si>
    <t>https://www.flipkart.com/nokia-130-music-dual-sim-player-dedicated-buttons/p/itm221dea7e0ca49?pid=MOBGSFEC2SSXVUNB&amp;lid=LSTMOBGSFEC2SSXVUNBZ2JUSL&amp;marketplace=FLIPKART&amp;q=mobiles&amp;store=tyy%2F4io&amp;srno=s_3_70&amp;otracker=search&amp;otracker1=search&amp;fm=organic&amp;iid=0cc328c0-4474-4201-8be4-a0cd716f39d0.MOBGSFEC2SSXVUNB.SEARCH&amp;ppt=None&amp;ppn=None&amp;ssid=c7fgpo2xc00000001777620087866&amp;qH=eb4af0bf07c16429&amp;ov_redirect=true</t>
  </si>
  <si>
    <t>POCO M7 5G (Satin Black, 128 GB)</t>
  </si>
  <si>
    <t>https://www.flipkart.com/poco-m7-5g-satin-black-128-gb/p/itmfcda6248f1fdd?pid=MOBH9HFJYGH7VTMD&amp;lid=LSTMOBH9HFJYGH7VTMDVLSKLL&amp;marketplace=FLIPKART&amp;q=mobiles&amp;store=tyy%2F4io&amp;srno=s_3_71&amp;otracker=search&amp;otracker1=search&amp;fm=organic&amp;iid=0cc328c0-4474-4201-8be4-a0cd716f39d0.MOBH9HFJYGH7VTMD.SEARCH&amp;ppt=None&amp;ppn=None&amp;ssid=c7fgpo2xc00000001777620087866&amp;qH=eb4af0bf07c16429&amp;ov_redirect=true</t>
  </si>
  <si>
    <t>Samsung M06 5G (Sage Green, 128 GB)</t>
  </si>
  <si>
    <t>https://www.flipkart.com/samsung-m06-5g-sage-green-128-gb/p/itmcafa42dadc15c?pid=MOBH9UYFYVNKR3HR&amp;lid=LSTMOBH9UYFYVNKR3HRGJXU90&amp;marketplace=FLIPKART&amp;q=mobiles&amp;store=tyy%2F4io&amp;srno=s_3_72&amp;otracker=search&amp;otracker1=search&amp;fm=organic&amp;iid=0cc328c0-4474-4201-8be4-a0cd716f39d0.MOBH9UYFYVNKR3HR.SEARCH&amp;ppt=None&amp;ppn=None&amp;ssid=c7fgpo2xc00000001777620087866&amp;qH=eb4af0bf07c16429&amp;ov_redirect=true</t>
  </si>
  <si>
    <t>realme P4 Lite 5G (Mosaic Blue, 64 GB)</t>
  </si>
  <si>
    <t>https://www.flipkart.com/realme-p4-lite-5g-mosaic-blue-64-gb/p/itm90c243961f214?pid=MOBHHFBUHTZG3GTN&amp;lid=LSTMOBHHFBUHTZG3GTN6CU6Z3&amp;marketplace=FLIPKART&amp;q=mobiles&amp;store=tyy%2F4io&amp;srno=s_4_73&amp;otracker=search&amp;otracker1=search&amp;fm=organic&amp;iid=43404e50-25b7-4373-9f2d-0bc78dda3de4.MOBHHFBUHTZG3GTN.SEARCH&amp;ppt=None&amp;ppn=None&amp;ssid=oqvx9hv6bk0000001777620099812&amp;qH=eb4af0bf07c16429&amp;ov_redirect=true</t>
  </si>
  <si>
    <t>https://www.flipkart.com/samsung-galaxy-f06-5g-bahama-blue-128-gb/p/itm9acd4c5748761?pid=MOBH9AS4DSSQECZM&amp;lid=LSTMOBH9AS4DSSQECZMNC3LC0&amp;marketplace=FLIPKART&amp;q=mobiles&amp;store=tyy%2F4io&amp;srno=s_4_74&amp;otracker=search&amp;otracker1=search&amp;fm=organic&amp;iid=43404e50-25b7-4373-9f2d-0bc78dda3de4.MOBH9AS4DSSQECZM.SEARCH&amp;ppt=None&amp;ppn=None&amp;ssid=oqvx9hv6bk0000001777620099812&amp;qH=eb4af0bf07c16429&amp;ov_redirect=true</t>
  </si>
  <si>
    <t>POCO C85 5G (Power Black, 128 GB)</t>
  </si>
  <si>
    <t>https://www.flipkart.com/poco-c85-5g-power-black-128-gb/p/itm1f62dee4df0ad?pid=MOBHHWYSM9YV9QZ9&amp;lid=LSTMOBHHWYSM9YV9QZ9YCEKVL&amp;marketplace=FLIPKART&amp;q=mobiles&amp;store=tyy%2F4io&amp;srno=s_4_75&amp;otracker=search&amp;otracker1=search&amp;fm=organic&amp;iid=43404e50-25b7-4373-9f2d-0bc78dda3de4.MOBHHWYSM9YV9QZ9.SEARCH&amp;ppt=None&amp;ppn=None&amp;ssid=oqvx9hv6bk0000001777620099812&amp;qH=eb4af0bf07c16429&amp;ov_redirect=true</t>
  </si>
  <si>
    <t>Ai+ Pulse 1 (Sparkle Red, 128 GB)</t>
  </si>
  <si>
    <t>https://www.flipkart.com/ai-pulse-1-sparkle-red-128-gb/p/itm07e17f4df962c?pid=MOBHFG2DZMBHECNY&amp;lid=LSTMOBHFG2DZMBHECNYM58VHB&amp;marketplace=FLIPKART&amp;q=mobiles&amp;store=tyy%2F4io&amp;srno=s_4_76&amp;otracker=search&amp;otracker1=search&amp;fm=organic&amp;iid=43404e50-25b7-4373-9f2d-0bc78dda3de4.MOBHFG2DZMBHECNY.SEARCH&amp;ppt=None&amp;ppn=None&amp;ssid=oqvx9hv6bk0000001777620099812&amp;qH=eb4af0bf07c16429&amp;ov_redirect=true</t>
  </si>
  <si>
    <t>MOTOROLA G96 5G (Pantone Cattleya Orchid, 128 GB)</t>
  </si>
  <si>
    <t>https://www.flipkart.com/motorola-g96-5g-pantone-cattleya-orchid-128-gb/p/itm1a71d1ad992ec?pid=MOBHB3SZZWVEZ5ZD&amp;lid=LSTMOBHB3SZZWVEZ5ZDXVUUEN&amp;marketplace=FLIPKART&amp;q=mobiles&amp;store=tyy%2F4io&amp;srno=s_4_77&amp;otracker=search&amp;otracker1=search&amp;fm=organic&amp;iid=43404e50-25b7-4373-9f2d-0bc78dda3de4.MOBHB3SZZWVEZ5ZD.SEARCH&amp;ppt=None&amp;ppn=None&amp;ssid=oqvx9hv6bk0000001777620099812&amp;qH=eb4af0bf07c16429&amp;ov_redirect=true</t>
  </si>
  <si>
    <t>vivo T5 Pro 5G (Cosmic Black, 128 GB)</t>
  </si>
  <si>
    <t>https://www.flipkart.com/vivo-t5-pro-5g-cosmic-black-128-gb/p/itma21e2e09d4493?pid=MOBHM4FZPA8A7KVS&amp;lid=LSTMOBHM4FZPA8A7KVSB3VDWD&amp;marketplace=FLIPKART&amp;q=mobiles&amp;store=tyy%2F4io&amp;srno=s_4_78&amp;otracker=search&amp;otracker1=search&amp;fm=organic&amp;iid=43404e50-25b7-4373-9f2d-0bc78dda3de4.MOBHM4FZPA8A7KVS.SEARCH&amp;ppt=None&amp;ppn=None&amp;ssid=oqvx9hv6bk0000001777620099812&amp;qH=eb4af0bf07c16429&amp;ov_redirect=true</t>
  </si>
  <si>
    <t>HOTLINE TIGER</t>
  </si>
  <si>
    <t>https://www.flipkart.com/hotline-tiger/p/itm80299e38ac1bd?pid=MOBHHWAA9DJGPNFS&amp;lid=LSTMOBHHWAA9DJGPNFSSNG8TR&amp;marketplace=FLIPKART&amp;q=mobiles&amp;store=tyy%2F4io&amp;srno=s_4_79&amp;otracker=search&amp;otracker1=search&amp;fm=organic&amp;iid=43404e50-25b7-4373-9f2d-0bc78dda3de4.MOBHHWAA9DJGPNFS.SEARCH&amp;ppt=None&amp;ppn=None&amp;ssid=oqvx9hv6bk0000001777620099812&amp;qH=eb4af0bf07c16429&amp;ov_redirect=true</t>
  </si>
  <si>
    <t>https://www.flipkart.com/nokia-all-new-105-single-sim-keypad-phone-built-in-upi-payments/p/itm409e24014f9d2?pid=MOBGQFVGYU2F5CYT&amp;lid=LSTMOBGQFVGYU2F5CYT24X1DA&amp;marketplace=FLIPKART&amp;q=mobiles&amp;store=tyy%2F4io&amp;srno=s_4_80&amp;otracker=search&amp;otracker1=search&amp;fm=organic&amp;iid=43404e50-25b7-4373-9f2d-0bc78dda3de4.MOBGQFVGYU2F5CYT.SEARCH&amp;ppt=None&amp;ppn=None&amp;ssid=oqvx9hv6bk0000001777620099812&amp;qH=eb4af0bf07c16429&amp;ov_redirect=true</t>
  </si>
  <si>
    <t>Ai+ Pulse 1 (Black, 128 GB)</t>
  </si>
  <si>
    <t>https://www.flipkart.com/ai-pulse-1-black-128-gb/p/itm28c2a982dd856?pid=MOBHDDQXGD5AGM7F&amp;lid=LSTMOBHDDQXGD5AGM7FINJI8C&amp;marketplace=FLIPKART&amp;q=mobiles&amp;store=tyy%2F4io&amp;srno=s_4_81&amp;otracker=search&amp;otracker1=search&amp;fm=organic&amp;iid=43404e50-25b7-4373-9f2d-0bc78dda3de4.MOBHDDQXGD5AGM7F.SEARCH&amp;ppt=None&amp;ppn=None&amp;ssid=oqvx9hv6bk0000001777620099812&amp;qH=eb4af0bf07c16429&amp;ov_redirect=true</t>
  </si>
  <si>
    <t>itel Ace 3 Shine</t>
  </si>
  <si>
    <t>https://www.flipkart.com/itel-ace-3-shine/p/itmaff63c368e417?pid=MOBH33UGHVT7PZEF&amp;lid=LSTMOBH33UGHVT7PZEFKDXBZV&amp;marketplace=FLIPKART&amp;q=mobiles&amp;store=tyy%2F4io&amp;srno=s_4_82&amp;otracker=search&amp;otracker1=search&amp;fm=organic&amp;iid=43404e50-25b7-4373-9f2d-0bc78dda3de4.MOBH33UGHVT7PZEF.SEARCH&amp;ppt=None&amp;ppn=None&amp;ssid=oqvx9hv6bk0000001777620099812&amp;qH=eb4af0bf07c16429&amp;ov_redirect=true</t>
  </si>
  <si>
    <t>MOTOROLA g67 power 5G (Pantone Curacao Blue, 128 GB)</t>
  </si>
  <si>
    <t>https://www.flipkart.com/motorola-g67-power-5g-pantone-curacao-blue-128-gb/p/itm2bdde49fa46a3?pid=MOBHFSCEJHCXGYXV&amp;lid=LSTMOBHFSCEJHCXGYXVPQ3MCM&amp;marketplace=FLIPKART&amp;q=mobiles&amp;store=tyy%2F4io&amp;srno=s_4_83&amp;otracker=search&amp;otracker1=search&amp;fm=organic&amp;iid=43404e50-25b7-4373-9f2d-0bc78dda3de4.MOBHFSCEJHCXGYXV.SEARCH&amp;ppt=None&amp;ppn=None&amp;ssid=oqvx9hv6bk0000001777620099812&amp;qH=eb4af0bf07c16429&amp;ov_redirect=true</t>
  </si>
  <si>
    <t>Nokia 105 Classic Single Sim Keypad Phone, Charger in-Box</t>
  </si>
  <si>
    <t>https://www.flipkart.com/nokia-105-classic-single-sim-keypad-phone-charger-in-box/p/itmf480228dab37a?pid=MOBGWZUWENQGEQEQ&amp;lid=LSTMOBGWZUWENQGEQEQELG2KS&amp;marketplace=FLIPKART&amp;q=mobiles&amp;store=tyy%2F4io&amp;srno=s_4_84&amp;otracker=search&amp;otracker1=search&amp;fm=organic&amp;iid=43404e50-25b7-4373-9f2d-0bc78dda3de4.MOBGWZUWENQGEQEQ.SEARCH&amp;ppt=None&amp;ppn=None&amp;ssid=oqvx9hv6bk0000001777620099812&amp;qH=eb4af0bf07c16429&amp;ov_redirect=true</t>
  </si>
  <si>
    <t>POCO M7 5G (Ocean Blue, 128 GB)</t>
  </si>
  <si>
    <t>https://www.flipkart.com/poco-m7-5g-ocean-blue-128-gb/p/itm7c4a352930fde?pid=MOBH9HFJTH8SZWMZ&amp;lid=LSTMOBH9HFJTH8SZWMZ6OVNR6&amp;marketplace=FLIPKART&amp;q=mobiles&amp;store=tyy%2F4io&amp;srno=s_4_85&amp;otracker=search&amp;otracker1=search&amp;fm=organic&amp;iid=43404e50-25b7-4373-9f2d-0bc78dda3de4.MOBH9HFJTH8SZWMZ.SEARCH&amp;ppt=None&amp;ppn=None&amp;ssid=oqvx9hv6bk0000001777620099812&amp;qH=eb4af0bf07c16429&amp;ov_redirect=true</t>
  </si>
  <si>
    <t>POCO M6 Plus 5G (Ice Silver, 128 GB)</t>
  </si>
  <si>
    <t>https://www.flipkart.com/poco-m6-plus-5g-ice-silver-128-gb/p/itmc28efc9e90d07?pid=MOBH2M2DHZWDKYFE&amp;lid=LSTMOBH2M2DHZWDKYFEJAQ2HD&amp;marketplace=FLIPKART&amp;q=mobiles&amp;store=tyy%2F4io&amp;srno=s_4_86&amp;otracker=search&amp;otracker1=search&amp;fm=organic&amp;iid=43404e50-25b7-4373-9f2d-0bc78dda3de4.MOBH2M2DHZWDKYFE.SEARCH&amp;ppt=None&amp;ppn=None&amp;ssid=oqvx9hv6bk0000001777620099812&amp;qH=eb4af0bf07c16429&amp;ov_redirect=true</t>
  </si>
  <si>
    <t>realme P4 Lite 5G (Mosaic Green, 128 GB)</t>
  </si>
  <si>
    <t>https://www.flipkart.com/realme-p4-lite-5g-mosaic-green-128-gb/p/itm90c243961f214?pid=MOBHHFBUFXBGDWBV&amp;lid=LSTMOBHHFBUFXBGDWBVSMCT6D&amp;marketplace=FLIPKART&amp;q=mobiles&amp;store=tyy%2F4io&amp;srno=s_4_87&amp;otracker=search&amp;otracker1=search&amp;fm=organic&amp;iid=43404e50-25b7-4373-9f2d-0bc78dda3de4.MOBHHFBUFXBGDWBV.SEARCH&amp;ppt=None&amp;ppn=None&amp;ssid=oqvx9hv6bk0000001777620099812&amp;qH=eb4af0bf07c16429&amp;ov_redirect=true</t>
  </si>
  <si>
    <t>Samsung M36 5G (Light Green, 128 GB)</t>
  </si>
  <si>
    <t>https://www.flipkart.com/samsung-m36-5g-light-green-128-gb/p/itm4cf1eae54334f?pid=MOBHEYY2YZXYBR66&amp;lid=LSTMOBHEYY2YZXYBR66RWTOFC&amp;marketplace=FLIPKART&amp;q=mobiles&amp;store=tyy%2F4io&amp;srno=s_4_88&amp;otracker=search&amp;otracker1=search&amp;fm=organic&amp;iid=43404e50-25b7-4373-9f2d-0bc78dda3de4.MOBHEYY2YZXYBR66.SEARCH&amp;ppt=None&amp;ppn=None&amp;ssid=oqvx9hv6bk0000001777620099812&amp;qH=eb4af0bf07c16429&amp;ov_redirect=true</t>
  </si>
  <si>
    <t>OPPO K14x 5G (Icy Blue, 64 GB)</t>
  </si>
  <si>
    <t>https://www.flipkart.com/oppo-k14x-5g-icy-blue-64-gb/p/itm188c7a4b69292?pid=MOBHKZF3YEJNPZHZ&amp;lid=LSTMOBHKZF3YEJNPZHZKAKWY1&amp;marketplace=FLIPKART&amp;q=mobiles&amp;store=tyy%2F4io&amp;srno=s_4_89&amp;otracker=search&amp;otracker1=search&amp;fm=organic&amp;iid=43404e50-25b7-4373-9f2d-0bc78dda3de4.MOBHKZF3YEJNPZHZ.SEARCH&amp;ppt=None&amp;ppn=None&amp;ssid=oqvx9hv6bk0000001777620099812&amp;qH=eb4af0bf07c16429&amp;ov_redirect=true</t>
  </si>
  <si>
    <t>https://www.flipkart.com/poco-m7-plus-5g-carbon-black-128-gb/p/itm9b1bceebdc605?pid=MOBHETX6RHPPFCFD&amp;lid=LSTMOBHETX6RHPPFCFDZH0IHQ&amp;marketplace=FLIPKART&amp;q=mobiles&amp;store=tyy%2F4io&amp;srno=s_4_90&amp;otracker=search&amp;otracker1=search&amp;fm=organic&amp;iid=43404e50-25b7-4373-9f2d-0bc78dda3de4.MOBHETX6RHPPFCFD.SEARCH&amp;ppt=None&amp;ppn=None&amp;ssid=oqvx9hv6bk0000001777620099812&amp;qH=eb4af0bf07c16429&amp;ov_redirect=true</t>
  </si>
  <si>
    <t>MOTOROLA g06 power (Pantone Laurel Oak, 64 GB)</t>
  </si>
  <si>
    <t>https://www.flipkart.com/motorola-g06-power-pantone-laurel-oak-64-gb/p/itmf9181378967b8?pid=MOBHFSCECY35PFSB&amp;lid=LSTMOBHFSCECY35PFSB1CPTDG&amp;marketplace=FLIPKART&amp;q=mobiles&amp;store=tyy%2F4io&amp;srno=s_4_91&amp;otracker=search&amp;otracker1=search&amp;fm=organic&amp;iid=43404e50-25b7-4373-9f2d-0bc78dda3de4.MOBHFSCECY35PFSB.SEARCH&amp;ppt=None&amp;ppn=None&amp;ssid=oqvx9hv6bk0000001777620099812&amp;qH=eb4af0bf07c16429&amp;ov_redirect=true</t>
  </si>
  <si>
    <t>GFive SHARK</t>
  </si>
  <si>
    <t>https://www.flipkart.com/gfive-shark/p/itm9199420859906?pid=MOBHBUZY6RFRHQYV&amp;lid=LSTMOBHBUZY6RFRHQYVP6NLDA&amp;marketplace=FLIPKART&amp;q=mobiles&amp;store=tyy%2F4io&amp;srno=s_4_92&amp;otracker=search&amp;otracker1=search&amp;fm=organic&amp;iid=43404e50-25b7-4373-9f2d-0bc78dda3de4.MOBHBUZY6RFRHQYV.SEARCH&amp;ppt=None&amp;ppn=None&amp;ssid=oqvx9hv6bk0000001777620099812&amp;qH=eb4af0bf07c16429&amp;ov_redirect=true</t>
  </si>
  <si>
    <t>Ai+ Nova 5G (Purple, 128 GB)</t>
  </si>
  <si>
    <t>https://www.flipkart.com/ai-nova-5g-purple-128-gb/p/itm6116e1e30cc63?pid=MOBHDDQXJVZXFCWP&amp;lid=LSTMOBHDDQXJVZXFCWPP3HPDK&amp;marketplace=FLIPKART&amp;q=mobiles&amp;store=tyy%2F4io&amp;srno=s_4_93&amp;otracker=search&amp;otracker1=search&amp;fm=organic&amp;iid=43404e50-25b7-4373-9f2d-0bc78dda3de4.MOBHDDQXJVZXFCWP.SEARCH&amp;ppt=None&amp;ppn=None&amp;ssid=oqvx9hv6bk0000001777620099812&amp;qH=eb4af0bf07c16429&amp;ov_redirect=true</t>
  </si>
  <si>
    <t>https://www.flipkart.com/itel-it5330-2-8-inch-big-display-1900-mah-battery-kingvoice/p/itmfb08600c266c4?pid=MOBGW5H6KZ8BHRS3&amp;lid=LSTMOBGW5H6KZ8BHRS3CQSOGH&amp;marketplace=FLIPKART&amp;q=mobiles&amp;store=tyy%2F4io&amp;srno=s_4_94&amp;otracker=search&amp;otracker1=search&amp;fm=organic&amp;iid=43404e50-25b7-4373-9f2d-0bc78dda3de4.MOBGW5H6KZ8BHRS3.SEARCH&amp;ppt=None&amp;ppn=None&amp;ssid=oqvx9hv6bk0000001777620099812&amp;qH=eb4af0bf07c16429&amp;ov_redirect=true</t>
  </si>
  <si>
    <t>Kechaoda A27</t>
  </si>
  <si>
    <t>https://www.flipkart.com/kechaoda-a27/p/itmfe39duawbf8e5?pid=MOBFE4D2CGKRMVVW&amp;lid=LSTMOBFE4D2CGKRMVVWYFIHLK&amp;marketplace=FLIPKART&amp;q=mobiles&amp;store=tyy%2F4io&amp;srno=s_4_95&amp;otracker=search&amp;otracker1=search&amp;fm=organic&amp;iid=43404e50-25b7-4373-9f2d-0bc78dda3de4.MOBFE4D2CGKRMVVW.SEARCH&amp;ppt=None&amp;ppn=None&amp;ssid=oqvx9hv6bk0000001777620099812&amp;qH=eb4af0bf07c16429&amp;ov_redirect=true</t>
  </si>
  <si>
    <t>KARBONN K9 Jumbo,Dual Keypad Mobile,2.4 Big LCD,2MP Camera,1800mAh Battery,FM,Vibratore</t>
  </si>
  <si>
    <t>https://www.flipkart.com/karbonn-k9-jumbo-dual-keypad-mobile-2-4-big-lcd-2mp-camera-1800mah-battery-fm-vibratore/p/itm3ff31178f348f?pid=MOBH6GZVNMW2UY3F&amp;lid=LSTMOBH6GZVNMW2UY3FKESAN2&amp;marketplace=FLIPKART&amp;q=mobiles&amp;store=tyy%2F4io&amp;srno=s_4_96&amp;otracker=search&amp;otracker1=search&amp;fm=organic&amp;iid=43404e50-25b7-4373-9f2d-0bc78dda3de4.MOBH6GZVNMW2UY3F.SEARCH&amp;ppt=None&amp;ppn=None&amp;ssid=oqvx9hv6bk0000001777620099812&amp;qH=eb4af0bf07c16429&amp;ov_redirect=true</t>
  </si>
  <si>
    <t>POCO C75 5G (Silver Stardust, 64 GB)</t>
  </si>
  <si>
    <t>https://www.flipkart.com/poco-c75-5g-silver-stardust-64-gb/p/itm8e3f17ac2e724?pid=MOBH74433ZER9U4P&amp;lid=LSTMOBH74433ZER9U4PIUMZCQ&amp;marketplace=FLIPKART&amp;q=mobiles&amp;store=tyy%2F4io&amp;srno=s_5_97&amp;otracker=search&amp;otracker1=search&amp;fm=organic&amp;iid=cc1c702b-85e3-45a8-bb7e-bd9da99c7608.MOBH74433ZER9U4P.SEARCH&amp;ppt=None&amp;ppn=None&amp;ssid=zeim0lk1mo0000001777620111914&amp;qH=eb4af0bf07c16429&amp;ov_redirect=true</t>
  </si>
  <si>
    <t>REDMI Note 14 SE 5G (Titan Black, 128 GB)</t>
  </si>
  <si>
    <t>https://www.flipkart.com/redmi-note-14-se-5g-titan-black-128-gb/p/itmbbe0bfdee707d?pid=MOBHE48SMK9RUZHQ&amp;lid=LSTMOBHE48SMK9RUZHQEJUO1P&amp;marketplace=FLIPKART&amp;q=mobiles&amp;store=tyy%2F4io&amp;srno=s_5_98&amp;otracker=search&amp;otracker1=search&amp;fm=organic&amp;iid=cc1c702b-85e3-45a8-bb7e-bd9da99c7608.MOBHE48SMK9RUZHQ.SEARCH&amp;ppt=None&amp;ppn=None&amp;ssid=zeim0lk1mo0000001777620111914&amp;qH=eb4af0bf07c16429&amp;ov_redirect=true</t>
  </si>
  <si>
    <t>LAVA A3 Torch</t>
  </si>
  <si>
    <t>https://www.flipkart.com/lava-a3-torch/p/itmdf5e9eeffd7ab?pid=MOBH5ZYHF9NCM3NB&amp;lid=LSTMOBH5ZYHF9NCM3NBLMXOCG&amp;marketplace=FLIPKART&amp;q=mobiles&amp;store=tyy%2F4io&amp;srno=s_5_99&amp;otracker=search&amp;otracker1=search&amp;fm=organic&amp;iid=cc1c702b-85e3-45a8-bb7e-bd9da99c7608.MOBH5ZYHF9NCM3NB.SEARCH&amp;ppt=None&amp;ppn=None&amp;ssid=zeim0lk1mo0000001777620111914&amp;qH=eb4af0bf07c16429&amp;ov_redirect=true</t>
  </si>
  <si>
    <t>REDMI Note 15 SE 5G (Frosted White, 128 GB)</t>
  </si>
  <si>
    <t>https://www.flipkart.com/redmi-note-15-se-5g-frosted-white-128-gb/p/itme790d8c8f675b?pid=MOBHHAFAYA6UYMB9&amp;lid=LSTMOBHHAFAYA6UYMB9P8KIMQ&amp;marketplace=FLIPKART&amp;q=mobiles&amp;store=tyy%2F4io&amp;srno=s_5_100&amp;otracker=search&amp;otracker1=search&amp;fm=organic&amp;iid=cc1c702b-85e3-45a8-bb7e-bd9da99c7608.MOBHHAFAYA6UYMB9.SEARCH&amp;ppt=None&amp;ppn=None&amp;ssid=zeim0lk1mo0000001777620111914&amp;qH=eb4af0bf07c16429&amp;ov_redirect=true</t>
  </si>
  <si>
    <t>Apple iPhone 17 (Black, 256 GB)</t>
  </si>
  <si>
    <t>https://www.flipkart.com/apple-iphone-17-black-256-gb/p/itm6eb39da622cdd?pid=MOBHFN6YN2HXB5HE&amp;lid=LSTMOBHFN6YN2HXB5HER9QXGU&amp;marketplace=FLIPKART&amp;q=mobiles&amp;store=tyy%2F4io&amp;srno=s_5_101&amp;otracker=search&amp;otracker1=search&amp;fm=organic&amp;iid=cc1c702b-85e3-45a8-bb7e-bd9da99c7608.MOBHFN6YN2HXB5HE.SEARCH&amp;ppt=None&amp;ppn=None&amp;ssid=zeim0lk1mo0000001777620111914&amp;qH=eb4af0bf07c16429&amp;ov_redirect=true</t>
  </si>
  <si>
    <t>LAVA A7 Torch+</t>
  </si>
  <si>
    <t>https://www.flipkart.com/lava-a7-torch/p/itm9b1e7a0319be6?pid=MOBGT96PUCU4ESGQ&amp;lid=LSTMOBGT96PUCU4ESGQCMK7LH&amp;marketplace=FLIPKART&amp;q=mobiles&amp;store=tyy%2F4io&amp;srno=s_5_102&amp;otracker=search&amp;otracker1=search&amp;fm=organic&amp;iid=cc1c702b-85e3-45a8-bb7e-bd9da99c7608.MOBGT96PUCU4ESGQ.SEARCH&amp;ppt=None&amp;ppn=None&amp;ssid=zeim0lk1mo0000001777620111914&amp;qH=eb4af0bf07c16429&amp;ov_redirect=true</t>
  </si>
  <si>
    <t>https://www.flipkart.com/nokia-106-single-sim-keypad-phone-built-in-upi-app-mp3-player/p/itm5486a2da326c2?pid=MOBGRH6YNYVBQJSR&amp;lid=LSTMOBGRH6YNYVBQJSRBOSRZ8&amp;marketplace=FLIPKART&amp;q=mobiles&amp;store=tyy%2F4io&amp;srno=s_5_103&amp;otracker=search&amp;otracker1=search&amp;fm=organic&amp;iid=cc1c702b-85e3-45a8-bb7e-bd9da99c7608.MOBGRH6YNYVBQJSR.SEARCH&amp;ppt=None&amp;ppn=None&amp;ssid=zeim0lk1mo0000001777620111914&amp;qH=eb4af0bf07c16429&amp;ov_redirect=true</t>
  </si>
  <si>
    <t>MOTOROLA g06 power (Pantone Tendril, 64 GB)</t>
  </si>
  <si>
    <t>https://www.flipkart.com/motorola-g06-power-pantone-tendril-64-gb/p/itm042f1f6d04b3a?pid=MOBHFSCEDQXXDXUQ&amp;lid=LSTMOBHFSCEDQXXDXUQ5OORZ3&amp;marketplace=FLIPKART&amp;q=mobiles&amp;store=tyy%2F4io&amp;srno=s_5_104&amp;otracker=search&amp;otracker1=search&amp;fm=organic&amp;iid=cc1c702b-85e3-45a8-bb7e-bd9da99c7608.MOBHFSCEDQXXDXUQ.SEARCH&amp;ppt=None&amp;ppn=None&amp;ssid=zeim0lk1mo0000001777620111914&amp;qH=eb4af0bf07c16429&amp;ov_redirect=true</t>
  </si>
  <si>
    <t>Kechaoda K115</t>
  </si>
  <si>
    <t>https://www.flipkart.com/kechaoda-k115/p/itmexfz2mgxnzhnd?pid=MOBEXFZ2HMZMJGNH&amp;lid=LSTMOBEXFZ2HMZMJGNHZ4GPEG&amp;marketplace=FLIPKART&amp;q=mobiles&amp;store=tyy%2F4io&amp;srno=s_5_105&amp;otracker=search&amp;otracker1=search&amp;fm=organic&amp;iid=cc1c702b-85e3-45a8-bb7e-bd9da99c7608.MOBEXFZ2HMZMJGNH.SEARCH&amp;ppt=None&amp;ppn=None&amp;ssid=zeim0lk1mo0000001777620111914&amp;qH=eb4af0bf07c16429&amp;ov_redirect=true</t>
  </si>
  <si>
    <t>Ai+ Pulse 2 (Green, 128 GB)</t>
  </si>
  <si>
    <t>https://www.flipkart.com/ai-pulse-2-green-128-gb/p/itme10d6b42d3b31?pid=MOBHKHPYGZGYBD8H&amp;lid=LSTMOBHKHPYGZGYBD8H1U3NOG&amp;marketplace=FLIPKART&amp;q=mobiles&amp;store=tyy%2F4io&amp;srno=s_5_106&amp;otracker=search&amp;otracker1=search&amp;fm=organic&amp;iid=cc1c702b-85e3-45a8-bb7e-bd9da99c7608.MOBHKHPYGZGYBD8H.SEARCH&amp;ppt=None&amp;ppn=None&amp;ssid=zeim0lk1mo0000001777620111914&amp;qH=eb4af0bf07c16429&amp;ov_redirect=true</t>
  </si>
  <si>
    <t>POCO M8 (Carbon Black, 128 GB)</t>
  </si>
  <si>
    <t>https://www.flipkart.com/poco-m8-carbon-black-128-gb/p/itmfb341f67be0ed?pid=MOBHGZZ6FEDJKAYZ&amp;lid=LSTMOBHGZZ6FEDJKAYZ6QQNNI&amp;marketplace=FLIPKART&amp;q=mobiles&amp;store=tyy%2F4io&amp;srno=s_5_107&amp;otracker=search&amp;otracker1=search&amp;fm=organic&amp;iid=cc1c702b-85e3-45a8-bb7e-bd9da99c7608.MOBHGZZ6FEDJKAYZ.SEARCH&amp;ppt=None&amp;ppn=None&amp;ssid=zeim0lk1mo0000001777620111914&amp;qH=eb4af0bf07c16429&amp;ov_redirect=true</t>
  </si>
  <si>
    <t>HOTLINE Amaze H312</t>
  </si>
  <si>
    <t>https://www.flipkart.com/hotline-amaze-h312/p/itme7ac50a5a6695?pid=MOBFUBX58K3KYC2C&amp;lid=LSTMOBFUBX58K3KYC2CVRP4JQ&amp;marketplace=FLIPKART&amp;q=mobiles&amp;store=tyy%2F4io&amp;srno=s_5_108&amp;otracker=search&amp;otracker1=search&amp;fm=organic&amp;iid=cc1c702b-85e3-45a8-bb7e-bd9da99c7608.MOBFUBX58K3KYC2C.SEARCH&amp;ppt=None&amp;ppn=None&amp;ssid=zeim0lk1mo0000001777620111914&amp;qH=eb4af0bf07c16429&amp;ov_redirect=true</t>
  </si>
  <si>
    <t>LAVA A1 Josh</t>
  </si>
  <si>
    <t>https://www.flipkart.com/lava-a1-josh/p/itme1f79c8bba88a?pid=MOBHHFUSK8V5EJUM&amp;lid=LSTMOBHHFUSK8V5EJUMO9MR6R&amp;marketplace=FLIPKART&amp;q=mobiles&amp;store=tyy%2F4io&amp;srno=s_5_109&amp;otracker=search&amp;otracker1=search&amp;fm=organic&amp;iid=cc1c702b-85e3-45a8-bb7e-bd9da99c7608.MOBHHFUSK8V5EJUM.SEARCH&amp;ppt=None&amp;ppn=None&amp;ssid=zeim0lk1mo0000001777620111914&amp;qH=eb4af0bf07c16429&amp;ov_redirect=true</t>
  </si>
  <si>
    <t>vivo T5 Pro 5G (Cosmic Black, 256 GB)</t>
  </si>
  <si>
    <t>https://www.flipkart.com/vivo-t5-pro-5g-cosmic-black-256-gb/p/itma21e2e09d4493?pid=MOBHM4FZRMHBQHP5&amp;lid=LSTMOBHM4FZRMHBQHP59ZOVA8&amp;marketplace=FLIPKART&amp;q=mobiles&amp;store=tyy%2F4io&amp;srno=s_5_110&amp;otracker=search&amp;otracker1=search&amp;fm=organic&amp;iid=cc1c702b-85e3-45a8-bb7e-bd9da99c7608.MOBHM4FZRMHBQHP5.SEARCH&amp;ppt=None&amp;ppn=None&amp;ssid=zeim0lk1mo0000001777620111914&amp;qH=eb4af0bf07c16429&amp;ov_redirect=true</t>
  </si>
  <si>
    <t>LAVA A2 Smart</t>
  </si>
  <si>
    <t>https://www.flipkart.com/lava-a2-smart/p/itm46b99bae8203d?pid=MOBHHCUEUPJSEHMF&amp;lid=LSTMOBHHCUEUPJSEHMFJPZZVP&amp;marketplace=FLIPKART&amp;q=mobiles&amp;store=tyy%2F4io&amp;srno=s_5_111&amp;otracker=search&amp;otracker1=search&amp;fm=organic&amp;iid=cc1c702b-85e3-45a8-bb7e-bd9da99c7608.MOBHHCUEUPJSEHMF.SEARCH&amp;ppt=None&amp;ppn=None&amp;ssid=zeim0lk1mo0000001777620111914&amp;qH=eb4af0bf07c16429&amp;ov_redirect=true</t>
  </si>
  <si>
    <t>POCO M7 Plus 5G (Aqua Blue, 128 GB)</t>
  </si>
  <si>
    <t>https://www.flipkart.com/poco-m7-plus-5g-aqua-blue-128-gb/p/itmd9444b12bdb68?pid=MOBHETX6GZAJWQME&amp;lid=LSTMOBHETX6GZAJWQMEDZLMD8&amp;marketplace=FLIPKART&amp;q=mobiles&amp;store=tyy%2F4io&amp;srno=s_5_112&amp;otracker=search&amp;otracker1=search&amp;fm=organic&amp;iid=cc1c702b-85e3-45a8-bb7e-bd9da99c7608.MOBHETX6GZAJWQME.SEARCH&amp;ppt=None&amp;ppn=None&amp;ssid=zeim0lk1mo0000001777620111914&amp;qH=eb4af0bf07c16429&amp;ov_redirect=true</t>
  </si>
  <si>
    <t>MOTOROLA Edge 70 Fusion (Pantone COUNTRY AIR, 128 GB)</t>
  </si>
  <si>
    <t>https://www.flipkart.com/motorola-edge-70-fusion-pantone-country-air-128-gb/p/itm2b93872d33747?pid=MOBHJ7TXKWJTAHNH&amp;lid=LSTMOBHJ7TXKWJTAHNHH7IMM4&amp;marketplace=FLIPKART&amp;q=mobiles&amp;store=tyy%2F4io&amp;srno=s_5_113&amp;otracker=search&amp;otracker1=search&amp;fm=organic&amp;iid=cc1c702b-85e3-45a8-bb7e-bd9da99c7608.MOBHJ7TXKWJTAHNH.SEARCH&amp;ppt=None&amp;ppn=None&amp;ssid=zeim0lk1mo0000001777620111914&amp;qH=eb4af0bf07c16429&amp;ov_redirect=true</t>
  </si>
  <si>
    <t>OnePlus Nord CE5 5G (Black Infinity, 128 GB)</t>
  </si>
  <si>
    <t>https://www.flipkart.com/oneplus-nord-ce5-5g-black-infinity-128-gb/p/itm9259708fe4e3c?pid=MOBHEYWZAGYMPFRP&amp;lid=LSTMOBHEYWZAGYMPFRPOLVOAC&amp;marketplace=FLIPKART&amp;q=mobiles&amp;store=tyy%2F4io&amp;srno=s_5_114&amp;otracker=search&amp;otracker1=search&amp;fm=organic&amp;iid=cc1c702b-85e3-45a8-bb7e-bd9da99c7608.MOBHEYWZAGYMPFRP.SEARCH&amp;ppt=None&amp;ppn=None&amp;ssid=zeim0lk1mo0000001777620111914&amp;qH=eb4af0bf07c16429&amp;ov_redirect=true</t>
  </si>
  <si>
    <t>MOTOROLA Edge 60 Pro (Pantone Shadow, 512 GB)</t>
  </si>
  <si>
    <t>https://www.flipkart.com/motorola-edge-60-pro-pantone-shadow-512-gb/p/itm88348cb50ac39?pid=MOBHC7EWEUHRV95Q&amp;lid=LSTMOBHC7EWEUHRV95QL9U01A&amp;marketplace=FLIPKART&amp;q=mobiles&amp;store=tyy%2F4io&amp;srno=s_5_115&amp;otracker=search&amp;otracker1=search&amp;fm=organic&amp;iid=cc1c702b-85e3-45a8-bb7e-bd9da99c7608.MOBHC7EWEUHRV95Q.SEARCH&amp;ppt=None&amp;ppn=None&amp;ssid=zeim0lk1mo0000001777620111914&amp;qH=eb4af0bf07c16429&amp;ov_redirect=true</t>
  </si>
  <si>
    <t>Nothing Phone (4a) (White, 256 GB)</t>
  </si>
  <si>
    <t>https://www.flipkart.com/nothing-phone-4a-white-256-gb/p/itm47712249513d4?pid=MOBHK7DDHD8MYDGG&amp;lid=LSTMOBHK7DDHD8MYDGGFXEWMS&amp;marketplace=FLIPKART&amp;q=mobiles&amp;store=tyy%2F4io&amp;srno=s_5_116&amp;otracker=search&amp;otracker1=search&amp;fm=organic&amp;iid=cc1c702b-85e3-45a8-bb7e-bd9da99c7608.MOBHK7DDHD8MYDGG.SEARCH&amp;ppt=None&amp;ppn=None&amp;ssid=zeim0lk1mo0000001777620111914&amp;qH=eb4af0bf07c16429&amp;ov_redirect=true</t>
  </si>
  <si>
    <t>realme P4 Lite (Sea Blue, 64 GB)</t>
  </si>
  <si>
    <t>https://www.flipkart.com/realme-p4-lite-sea-blue-64-gb/p/itm534024e2339ef?pid=MOBHK685GRDWR7UE&amp;lid=LSTMOBHK685GRDWR7UEUL2XML&amp;marketplace=FLIPKART&amp;q=mobiles&amp;store=tyy%2F4io&amp;srno=s_5_117&amp;otracker=search&amp;otracker1=search&amp;fm=organic&amp;iid=cc1c702b-85e3-45a8-bb7e-bd9da99c7608.MOBHK685GRDWR7UE.SEARCH&amp;ppt=None&amp;ppn=None&amp;ssid=zeim0lk1mo0000001777620111914&amp;qH=eb4af0bf07c16429&amp;ov_redirect=true</t>
  </si>
  <si>
    <t>REDMI 15A (Ace Black, 64 GB)</t>
  </si>
  <si>
    <t>https://www.flipkart.com/redmi-15a-ace-black-64-gb/p/itm68ab4eb006b2a?pid=MOBHHAFGXTESRZCY&amp;lid=LSTMOBHHAFGXTESRZCYDZNFNN&amp;marketplace=FLIPKART&amp;q=mobiles&amp;store=tyy%2F4io&amp;srno=s_5_118&amp;otracker=search&amp;otracker1=search&amp;fm=organic&amp;iid=cc1c702b-85e3-45a8-bb7e-bd9da99c7608.MOBHHAFGXTESRZCY.SEARCH&amp;ppt=None&amp;ppn=None&amp;ssid=zeim0lk1mo0000001777620111914&amp;qH=eb4af0bf07c16429&amp;ov_redirect=true</t>
  </si>
  <si>
    <t>REDMI A5 (Pondicherry Blue, 64 GB)</t>
  </si>
  <si>
    <t>https://www.flipkart.com/redmi-a5-pondicherry-blue-64-gb/p/itm2b4357effaa74?pid=MOBHB2HGG8RN2GUC&amp;lid=LSTMOBHB2HGG8RN2GUC8MPJWI&amp;marketplace=FLIPKART&amp;q=mobiles&amp;store=tyy%2F4io&amp;srno=s_5_119&amp;otracker=search&amp;otracker1=search&amp;fm=organic&amp;iid=cc1c702b-85e3-45a8-bb7e-bd9da99c7608.MOBHB2HGG8RN2GUC.SEARCH&amp;ppt=None&amp;ppn=None&amp;ssid=zeim0lk1mo0000001777620111914&amp;qH=eb4af0bf07c16429&amp;ov_redirect=true</t>
  </si>
  <si>
    <t>realme Narzo 80 Lite 5G (Onyx Black, 128 GB)</t>
  </si>
  <si>
    <t>https://www.flipkart.com/realme-narzo-80-lite-5g-onyx-black-128-gb/p/itm47ab7fdec3924?pid=MOBHDEYWAVBYBAUZ&amp;lid=LSTMOBHDEYWAVBYBAUZN5VNH7&amp;marketplace=FLIPKART&amp;q=mobiles&amp;store=tyy%2F4io&amp;srno=s_5_120&amp;otracker=search&amp;otracker1=search&amp;fm=organic&amp;iid=cc1c702b-85e3-45a8-bb7e-bd9da99c7608.MOBHDEYWAVBYBAUZ.SEARCH&amp;ppt=None&amp;ppn=None&amp;ssid=zeim0lk1mo0000001777620111914&amp;qH=eb4af0bf07c16429&amp;ov_redirect=true</t>
  </si>
  <si>
    <t>https://www.flipkart.com/realme-p4-lite-sea-blue-128-gb/p/itm534024e2339ef?pid=MOBHK685ZBEG6Y5H&amp;lid=LSTMOBHK685ZBEG6Y5HLV0LRO&amp;marketplace=FLIPKART&amp;q=mobiles&amp;store=tyy%2F4io&amp;srno=s_6_121&amp;otracker=search&amp;otracker1=search&amp;fm=organic&amp;iid=7bf5a4a9-4298-4eda-9120-436dfb1d2a75.MOBHK685ZBEG6Y5H.SEARCH&amp;ppt=None&amp;ppn=None&amp;ssid=47cx2lvhkw0000001777620123884&amp;qH=eb4af0bf07c16429&amp;ov_redirect=true</t>
  </si>
  <si>
    <t>Apple iPhone 15 (Black, 128 GB)</t>
  </si>
  <si>
    <t>https://www.flipkart.com/apple-iphone-15-black-128-gb/p/itm6ac6485515ae4?pid=MOBGTAGPTB3VS24W&amp;lid=LSTMOBGTAGPTB3VS24WCTBCFM&amp;marketplace=FLIPKART&amp;q=mobiles&amp;store=tyy%2F4io&amp;srno=s_6_122&amp;otracker=search&amp;otracker1=search&amp;fm=organic&amp;iid=7bf5a4a9-4298-4eda-9120-436dfb1d2a75.MOBGTAGPTB3VS24W.SEARCH&amp;ppt=None&amp;ppn=None&amp;ssid=47cx2lvhkw0000001777620123884&amp;qH=eb4af0bf07c16429&amp;ov_redirect=true</t>
  </si>
  <si>
    <t>realme P4x 5G (Lake Green, 256 GB)</t>
  </si>
  <si>
    <t>https://www.flipkart.com/realme-p4x-5g-lake-green-256-gb/p/itm575b1540859e4?pid=MOBHHTPHZDHND92D&amp;lid=LSTMOBHHTPHZDHND92DLKFZIY&amp;marketplace=FLIPKART&amp;q=mobiles&amp;store=tyy%2F4io&amp;srno=s_6_123&amp;otracker=search&amp;otracker1=search&amp;fm=organic&amp;iid=7bf5a4a9-4298-4eda-9120-436dfb1d2a75.MOBHHTPHZDHND92D.SEARCH&amp;ppt=None&amp;ppn=None&amp;ssid=47cx2lvhkw0000001777620123884&amp;qH=eb4af0bf07c16429&amp;ov_redirect=true</t>
  </si>
  <si>
    <t>https://www.flipkart.com/kechaoda-k115/p/itmexfz2mgxnzhnd?pid=MOBFSMGTGC3ESWWX&amp;lid=LSTMOBFSMGTGC3ESWWX5C5CDZ&amp;marketplace=FLIPKART&amp;q=mobiles&amp;store=tyy%2F4io&amp;srno=s_6_124&amp;otracker=search&amp;otracker1=search&amp;fm=organic&amp;iid=7bf5a4a9-4298-4eda-9120-436dfb1d2a75.MOBFSMGTGC3ESWWX.SEARCH&amp;ppt=None&amp;ppn=None&amp;ssid=47cx2lvhkw0000001777620123884&amp;qH=eb4af0bf07c16429&amp;ov_redirect=true</t>
  </si>
  <si>
    <t>https://www.flipkart.com/poco-c85x-elite-black-128-gb/p/itm7e422d0bdc317?pid=MOBHHFC85FVQZUSC&amp;lid=LSTMOBHHFC85FVQZUSCCVRGGM&amp;marketplace=FLIPKART&amp;q=mobiles&amp;store=tyy%2F4io&amp;srno=s_6_125&amp;otracker=search&amp;otracker1=search&amp;fm=organic&amp;iid=7bf5a4a9-4298-4eda-9120-436dfb1d2a75.MOBHHFC85FVQZUSC.SEARCH&amp;ppt=None&amp;ppn=None&amp;ssid=47cx2lvhkw0000001777620123884&amp;qH=eb4af0bf07c16429&amp;ov_redirect=true</t>
  </si>
  <si>
    <t>https://www.flipkart.com/poco-m7-plus-5g-carbon-black-128-gb/p/itmb4301b9afe80c?pid=MOBHETX6NVUH8VPG&amp;lid=LSTMOBHETX6NVUH8VPGINMDBZ&amp;marketplace=FLIPKART&amp;q=mobiles&amp;store=tyy%2F4io&amp;srno=s_6_126&amp;otracker=search&amp;otracker1=search&amp;fm=organic&amp;iid=7bf5a4a9-4298-4eda-9120-436dfb1d2a75.MOBHETX6NVUH8VPG.SEARCH&amp;ppt=None&amp;ppn=None&amp;ssid=47cx2lvhkw0000001777620123884&amp;qH=eb4af0bf07c16429&amp;ov_redirect=true</t>
  </si>
  <si>
    <t>MOTOROLA Edge 70 Fusion (Pantone COUNTRY AIR, 256 GB)</t>
  </si>
  <si>
    <t>https://www.flipkart.com/motorola-edge-70-fusion-pantone-country-air-256-gb/p/itma9614d4d0f962?pid=MOBHJ7TXYTPH3QPF&amp;lid=LSTMOBHJ7TXYTPH3QPFRJMXXQ&amp;marketplace=FLIPKART&amp;q=mobiles&amp;store=tyy%2F4io&amp;srno=s_6_127&amp;otracker=search&amp;otracker1=search&amp;fm=organic&amp;iid=7bf5a4a9-4298-4eda-9120-436dfb1d2a75.MOBHJ7TXYTPH3QPF.SEARCH&amp;ppt=None&amp;ppn=None&amp;ssid=47cx2lvhkw0000001777620123884&amp;qH=eb4af0bf07c16429&amp;ov_redirect=true</t>
  </si>
  <si>
    <t>MOTOROLA Moto A100</t>
  </si>
  <si>
    <t>https://www.flipkart.com/motorola-moto-a100/p/itmbe632d1856b4a?pid=MOBHG87XSWTJYDKE&amp;lid=LSTMOBHG87XSWTJYDKEVM1PZ7&amp;marketplace=FLIPKART&amp;q=mobiles&amp;store=tyy%2F4io&amp;srno=s_6_128&amp;otracker=search&amp;otracker1=search&amp;fm=organic&amp;iid=7bf5a4a9-4298-4eda-9120-436dfb1d2a75.MOBHG87XSWTJYDKE.SEARCH&amp;ppt=None&amp;ppn=None&amp;ssid=47cx2lvhkw0000001777620123884&amp;qH=eb4af0bf07c16429&amp;ov_redirect=true</t>
  </si>
  <si>
    <t>https://www.flipkart.com/poco-c71-cool-blue-128-gb/p/itmfb10bdbf02c6e?pid=MOBHAFVJURDB9QYR&amp;lid=LSTMOBHAFVJURDB9QYRYNBHTJ&amp;marketplace=FLIPKART&amp;q=mobiles&amp;store=tyy%2F4io&amp;srno=s_6_129&amp;otracker=search&amp;otracker1=search&amp;fm=organic&amp;iid=7bf5a4a9-4298-4eda-9120-436dfb1d2a75.MOBHAFVJURDB9QYR.SEARCH&amp;ppt=None&amp;ppn=None&amp;ssid=47cx2lvhkw0000001777620123884&amp;qH=eb4af0bf07c16429&amp;ov_redirect=true</t>
  </si>
  <si>
    <t>Apple iPhone 16 (White, 128 GB)</t>
  </si>
  <si>
    <t>https://www.flipkart.com/apple-iphone-16-white-128-gb/p/itm7c0281cd247be?pid=MOBH4DQF849HCG6G&amp;lid=LSTMOBH4DQF849HCG6GXHBPXY&amp;marketplace=FLIPKART&amp;q=mobiles&amp;store=tyy%2F4io&amp;srno=s_6_130&amp;otracker=search&amp;otracker1=search&amp;fm=organic&amp;iid=7bf5a4a9-4298-4eda-9120-436dfb1d2a75.MOBH4DQF849HCG6G.SEARCH&amp;ppt=None&amp;ppn=None&amp;ssid=47cx2lvhkw0000001777620123884&amp;qH=eb4af0bf07c16429&amp;ov_redirect=true</t>
  </si>
  <si>
    <t>vivo T4x 5G (Marine Blue, 128 GB)</t>
  </si>
  <si>
    <t>https://www.flipkart.com/vivo-t4x-5g-marine-blue-128-gb/p/itm017656bdd097b?pid=MOBH9JUSTWEMVADU&amp;lid=LSTMOBH9JUSTWEMVADU5W2ENU&amp;marketplace=FLIPKART&amp;q=mobiles&amp;store=tyy%2F4io&amp;srno=s_6_131&amp;otracker=search&amp;otracker1=search&amp;fm=organic&amp;iid=7bf5a4a9-4298-4eda-9120-436dfb1d2a75.MOBH9JUSTWEMVADU.SEARCH&amp;ppt=None&amp;ppn=None&amp;ssid=47cx2lvhkw0000001777620123884&amp;qH=eb4af0bf07c16429&amp;ov_redirect=true</t>
  </si>
  <si>
    <t>vivo Y19e (Majestic Green, 64 GB)</t>
  </si>
  <si>
    <t>https://www.flipkart.com/vivo-y19e-majestic-green-64-gb/p/itmb036ff616e9d9?pid=MOBHAFRHGQZGWGAQ&amp;lid=LSTMOBHAFRHGQZGWGAQV8OAXJ&amp;marketplace=FLIPKART&amp;q=mobiles&amp;store=tyy%2F4io&amp;srno=s_6_132&amp;otracker=search&amp;otracker1=search&amp;fm=organic&amp;iid=7bf5a4a9-4298-4eda-9120-436dfb1d2a75.MOBHAFRHGQZGWGAQ.SEARCH&amp;ppt=None&amp;ppn=None&amp;ssid=47cx2lvhkw0000001777620123884&amp;qH=eb4af0bf07c16429&amp;ov_redirect=true</t>
  </si>
  <si>
    <t>https://www.flipkart.com/nokia-130-music-dual-sim-player-dedicated-buttons/p/itm221dea7e0ca49?pid=MOBGSFECGGXAPF5B&amp;lid=LSTMOBGSFECGGXAPF5BGPRPZS&amp;marketplace=FLIPKART&amp;q=mobiles&amp;store=tyy%2F4io&amp;srno=s_6_133&amp;otracker=search&amp;otracker1=search&amp;fm=organic&amp;iid=7bf5a4a9-4298-4eda-9120-436dfb1d2a75.MOBGSFECGGXAPF5B.SEARCH&amp;ppt=None&amp;ppn=None&amp;ssid=47cx2lvhkw0000001777620123884&amp;qH=eb4af0bf07c16429&amp;ov_redirect=true</t>
  </si>
  <si>
    <t>https://www.flipkart.com/poco-m7-plus-5g-aqua-blue-128-gb/p/itm7f065aa27b056?pid=MOBHETX6HEEATBVE&amp;lid=LSTMOBHETX6HEEATBVESCYYWH&amp;marketplace=FLIPKART&amp;q=mobiles&amp;store=tyy%2F4io&amp;srno=s_6_134&amp;otracker=search&amp;otracker1=search&amp;fm=organic&amp;iid=7bf5a4a9-4298-4eda-9120-436dfb1d2a75.MOBHETX6HEEATBVE.SEARCH&amp;ppt=None&amp;ppn=None&amp;ssid=47cx2lvhkw0000001777620123884&amp;qH=eb4af0bf07c16429&amp;ov_redirect=true</t>
  </si>
  <si>
    <t>https://www.flipkart.com/poco-c75-5g-aqua-bliss-128-gb/p/itmc8ac71aacc115?pid=MOBHBC3WFGTCNDD7&amp;lid=LSTMOBHBC3WFGTCNDD7MLABCF&amp;marketplace=FLIPKART&amp;q=mobiles&amp;store=tyy%2F4io&amp;srno=s_6_135&amp;otracker=search&amp;otracker1=search&amp;fm=organic&amp;iid=7bf5a4a9-4298-4eda-9120-436dfb1d2a75.MOBHBC3WFGTCNDD7.SEARCH&amp;ppt=None&amp;ppn=None&amp;ssid=47cx2lvhkw0000001777620123884&amp;qH=eb4af0bf07c16429&amp;ov_redirect=true</t>
  </si>
  <si>
    <t>HOTLINE ROYAL</t>
  </si>
  <si>
    <t>https://www.flipkart.com/hotline-royal/p/itm7f57ba9cb956b?pid=MOBH8QEXFYDBTZZN&amp;lid=LSTMOBH8QEXFYDBTZZNYYR32E&amp;marketplace=FLIPKART&amp;q=mobiles&amp;store=tyy%2F4io&amp;srno=s_6_136&amp;otracker=search&amp;otracker1=search&amp;fm=organic&amp;iid=7bf5a4a9-4298-4eda-9120-436dfb1d2a75.MOBH8QEXFYDBTZZN.SEARCH&amp;ppt=None&amp;ppn=None&amp;ssid=47cx2lvhkw0000001777620123884&amp;qH=eb4af0bf07c16429&amp;ov_redirect=true</t>
  </si>
  <si>
    <t>REDMI Note 15 SE 5G (Carbon Black, 128 GB)</t>
  </si>
  <si>
    <t>https://www.flipkart.com/redmi-note-15-se-5g-carbon-black-128-gb/p/itm028965416c227?pid=MOBHHAFAF63SZA5U&amp;lid=LSTMOBHHAFAF63SZA5UPLYJLK&amp;marketplace=FLIPKART&amp;q=mobiles&amp;store=tyy%2F4io&amp;srno=s_6_137&amp;otracker=search&amp;otracker1=search&amp;fm=organic&amp;iid=7bf5a4a9-4298-4eda-9120-436dfb1d2a75.MOBHHAFAF63SZA5U.SEARCH&amp;ppt=None&amp;ppn=None&amp;ssid=47cx2lvhkw0000001777620123884&amp;qH=eb4af0bf07c16429&amp;ov_redirect=true</t>
  </si>
  <si>
    <t>vivo T4 5G (Phantom Grey, 256 GB)</t>
  </si>
  <si>
    <t>https://www.flipkart.com/vivo-t4-5g-phantom-grey-256-gb/p/itmc2634fd4daeb9?pid=MOBHATXZNHEG7XCX&amp;lid=LSTMOBHATXZNHEG7XCXXFIFJO&amp;marketplace=FLIPKART&amp;q=mobiles&amp;store=tyy%2F4io&amp;srno=s_6_138&amp;otracker=search&amp;otracker1=search&amp;fm=organic&amp;iid=7bf5a4a9-4298-4eda-9120-436dfb1d2a75.MOBHATXZNHEG7XCX.SEARCH&amp;ppt=None&amp;ppn=None&amp;ssid=47cx2lvhkw0000001777620123884&amp;qH=eb4af0bf07c16429&amp;ov_redirect=true</t>
  </si>
  <si>
    <t>OPPO K14 5G (Prism Violet, 256 GB)</t>
  </si>
  <si>
    <t>https://www.flipkart.com/oppo-k14-5g-prism-violet-256-gb/p/itm2a5cc1d23c2af?pid=MOBHKQYYNFMURAYF&amp;lid=LSTMOBHKQYYNFMURAYFFSX9KQ&amp;marketplace=FLIPKART&amp;q=mobiles&amp;store=tyy%2F4io&amp;srno=s_6_139&amp;otracker=search&amp;otracker1=search&amp;fm=organic&amp;iid=7bf5a4a9-4298-4eda-9120-436dfb1d2a75.MOBHKQYYNFMURAYF.SEARCH&amp;ppt=None&amp;ppn=None&amp;ssid=47cx2lvhkw0000001777620123884&amp;qH=eb4af0bf07c16429&amp;ov_redirect=true</t>
  </si>
  <si>
    <t>OPPO K14 5G (Prism White, 256 GB)</t>
  </si>
  <si>
    <t>https://www.flipkart.com/oppo-k14-5g-prism-white-256-gb/p/itm2a5cc1d23c2af?pid=MOBHKQYYPHXEGF7W&amp;lid=LSTMOBHKQYYPHXEGF7WJUSBDY&amp;marketplace=FLIPKART&amp;q=mobiles&amp;store=tyy%2F4io&amp;srno=s_6_140&amp;otracker=search&amp;otracker1=search&amp;fm=organic&amp;iid=7bf5a4a9-4298-4eda-9120-436dfb1d2a75.MOBHKQYYPHXEGF7W.SEARCH&amp;ppt=None&amp;ppn=None&amp;ssid=47cx2lvhkw0000001777620123884&amp;qH=eb4af0bf07c16429&amp;ov_redirect=true</t>
  </si>
  <si>
    <t>MOTOROLA Edge 70 Fusion (Pantone BLUE SURF, 256 GB)</t>
  </si>
  <si>
    <t>https://www.flipkart.com/motorola-edge-70-fusion-pantone-blue-surf-256-gb/p/itm8617d6ad959da?pid=MOBHJ7TXFYFQB4ET&amp;lid=LSTMOBHJ7TXFYFQB4ETBNG5GN&amp;marketplace=FLIPKART&amp;q=mobiles&amp;store=tyy%2F4io&amp;srno=s_6_141&amp;otracker=search&amp;otracker1=search&amp;fm=organic&amp;iid=7bf5a4a9-4298-4eda-9120-436dfb1d2a75.MOBHJ7TXFYFQB4ET.SEARCH&amp;ppt=None&amp;ppn=None&amp;ssid=47cx2lvhkw0000001777620123884&amp;qH=eb4af0bf07c16429&amp;ov_redirect=true</t>
  </si>
  <si>
    <t>G'Five SHARK 3</t>
  </si>
  <si>
    <t>https://www.flipkart.com/g-five-shark-3/p/itmbf1701f43dec9?pid=MOBHM6ECGS69ZZ92&amp;lid=LSTMOBHM6ECGS69ZZ92W1ACN8&amp;marketplace=FLIPKART&amp;q=mobiles&amp;store=tyy%2F4io&amp;srno=s_6_142&amp;otracker=search&amp;otracker1=search&amp;fm=organic&amp;iid=7bf5a4a9-4298-4eda-9120-436dfb1d2a75.MOBHM6ECGS69ZZ92.SEARCH&amp;ppt=None&amp;ppn=None&amp;ssid=47cx2lvhkw0000001777620123884&amp;qH=eb4af0bf07c16429&amp;ov_redirect=true</t>
  </si>
  <si>
    <t>MOTOROLA Edge 60 Pro (Pantone Walnut, 256 GB)</t>
  </si>
  <si>
    <t>https://www.flipkart.com/motorola-edge-60-pro-pantone-walnut-256-gb/p/itmd28ffaee4b29a?pid=MOBHC7EW5CW3T4UR&amp;lid=LSTMOBHC7EW5CW3T4URQLPXHC&amp;marketplace=FLIPKART&amp;q=mobiles&amp;store=tyy%2F4io&amp;srno=s_6_143&amp;otracker=search&amp;otracker1=search&amp;fm=organic&amp;iid=7bf5a4a9-4298-4eda-9120-436dfb1d2a75.MOBHC7EW5CW3T4UR.SEARCH&amp;ppt=None&amp;ppn=None&amp;ssid=47cx2lvhkw0000001777620123884&amp;qH=eb4af0bf07c16429&amp;ov_redirect=true</t>
  </si>
  <si>
    <t>https://www.flipkart.com/vivo-t4-5g-phantom-grey-256-gb/p/itmc2634fd4daeb9?pid=MOBHATXZGEAN2FWT&amp;lid=LSTMOBHATXZGEAN2FWT6HQWPH&amp;marketplace=FLIPKART&amp;q=mobiles&amp;store=tyy%2F4io&amp;srno=s_6_144&amp;otracker=search&amp;otracker1=search&amp;fm=organic&amp;iid=7bf5a4a9-4298-4eda-9120-436dfb1d2a75.MOBHATXZGEAN2FWT.SEARCH&amp;ppt=None&amp;ppn=None&amp;ssid=47cx2lvhkw0000001777620123884&amp;qH=eb4af0bf07c16429&amp;ov_redirect=true</t>
  </si>
  <si>
    <t>¹11,499</t>
  </si>
  <si>
    <t>‚¹18,999</t>
  </si>
  <si>
    <t>‚¹8,999</t>
  </si>
  <si>
    <t>‚¹11,499</t>
  </si>
  <si>
    <t>‚¹12,499</t>
  </si>
  <si>
    <t>‚¹13,499</t>
  </si>
  <si>
    <t>‚¹19,999</t>
  </si>
  <si>
    <t>‚¹1,599</t>
  </si>
  <si>
    <t>‚¹7,999</t>
  </si>
  <si>
    <t>‚¹9,999</t>
  </si>
  <si>
    <t>‚¹11,999</t>
  </si>
  <si>
    <t>‚¹777</t>
  </si>
  <si>
    <t>‚¹17,999</t>
  </si>
  <si>
    <t>‚¹1,434</t>
  </si>
  <si>
    <t>‚¹32,999</t>
  </si>
  <si>
    <t>‚¹15,499</t>
  </si>
  <si>
    <t>‚¹22,999</t>
  </si>
  <si>
    <t>‚¹14,499</t>
  </si>
  <si>
    <t>‚¹16,999</t>
  </si>
  <si>
    <t>‚¹12,999</t>
  </si>
  <si>
    <t>‚¹1,042</t>
  </si>
  <si>
    <t>‚¹16,499</t>
  </si>
  <si>
    <t>‚¹20,999</t>
  </si>
  <si>
    <t>‚¹10,999</t>
  </si>
  <si>
    <t>‚¹23,999</t>
  </si>
  <si>
    <t>‚¹14,999</t>
  </si>
  <si>
    <t>‚¹1,579</t>
  </si>
  <si>
    <t>‚¹9,960</t>
  </si>
  <si>
    <t>‚¹13,989</t>
  </si>
  <si>
    <t>‚¹13,999</t>
  </si>
  <si>
    <t>‚¹10,399</t>
  </si>
  <si>
    <t>‚¹1,194</t>
  </si>
  <si>
    <t>‚¹599</t>
  </si>
  <si>
    <t>‚¹1,304</t>
  </si>
  <si>
    <t>‚¹21,900</t>
  </si>
  <si>
    <t>‚¹26,999</t>
  </si>
  <si>
    <t>‚¹9,581</t>
  </si>
  <si>
    <t>‚¹1,994</t>
  </si>
  <si>
    <t>‚¹16,649</t>
  </si>
  <si>
    <t>‚¹17,448</t>
  </si>
  <si>
    <t>‚¹1,349</t>
  </si>
  <si>
    <t>‚¹1,342</t>
  </si>
  <si>
    <t>‚¹9,918</t>
  </si>
  <si>
    <t>‚¹12,155</t>
  </si>
  <si>
    <t>‚¹29,999</t>
  </si>
  <si>
    <t>‚¹899</t>
  </si>
  <si>
    <t>‚¹1,399</t>
  </si>
  <si>
    <t>‚¹16,900</t>
  </si>
  <si>
    <t>‚¹749</t>
  </si>
  <si>
    <t>‚¹1,496</t>
  </si>
  <si>
    <t>‚¹1,341</t>
  </si>
  <si>
    <t>‚¹82,900</t>
  </si>
  <si>
    <t>‚¹1,589</t>
  </si>
  <si>
    <t>‚¹997</t>
  </si>
  <si>
    <t>‚¹549</t>
  </si>
  <si>
    <t>‚¹1,049</t>
  </si>
  <si>
    <t>‚¹33,999</t>
  </si>
  <si>
    <t>‚¹1,286</t>
  </si>
  <si>
    <t>‚¹28,999</t>
  </si>
  <si>
    <t>‚¹37,999</t>
  </si>
  <si>
    <t>‚¹59,900</t>
  </si>
  <si>
    <t>‚¹999</t>
  </si>
  <si>
    <t>‚¹1,046</t>
  </si>
  <si>
    <t>‚¹69,900</t>
  </si>
  <si>
    <t>‚¹11,844</t>
  </si>
  <si>
    <t>‚¹480</t>
  </si>
  <si>
    <t>‚¹21,999</t>
  </si>
  <si>
    <t>URL</t>
  </si>
  <si>
    <t>Product Name</t>
  </si>
  <si>
    <t>Price</t>
  </si>
  <si>
    <t>Brand</t>
  </si>
  <si>
    <t>POCO</t>
  </si>
  <si>
    <t>MOTOROLA</t>
  </si>
  <si>
    <t>REDMI</t>
  </si>
  <si>
    <t>realme</t>
  </si>
  <si>
    <t>ringme</t>
  </si>
  <si>
    <t>Ai+</t>
  </si>
  <si>
    <t>Jmax</t>
  </si>
  <si>
    <t>itel</t>
  </si>
  <si>
    <t>Samsung</t>
  </si>
  <si>
    <t>Nokia</t>
  </si>
  <si>
    <t>Alcatel</t>
  </si>
  <si>
    <t>LAVA</t>
  </si>
  <si>
    <t>IQOO</t>
  </si>
  <si>
    <t>Micromax</t>
  </si>
  <si>
    <t>vivo</t>
  </si>
  <si>
    <t>HOTLINE</t>
  </si>
  <si>
    <t>OPPO</t>
  </si>
  <si>
    <t>GFive</t>
  </si>
  <si>
    <t>Kechaoda</t>
  </si>
  <si>
    <t>KARBONN</t>
  </si>
  <si>
    <t>Apple</t>
  </si>
  <si>
    <t>OnePlus</t>
  </si>
  <si>
    <t>Nothing</t>
  </si>
  <si>
    <t>G'Five</t>
  </si>
  <si>
    <t>Price2</t>
  </si>
  <si>
    <t>777¹777</t>
  </si>
  <si>
    <t>599¹599</t>
  </si>
  <si>
    <t>899¹899</t>
  </si>
  <si>
    <t>749¹749</t>
  </si>
  <si>
    <t>997¹997</t>
  </si>
  <si>
    <t>549¹549</t>
  </si>
  <si>
    <t>999¹999</t>
  </si>
  <si>
    <t>480¹480</t>
  </si>
  <si>
    <t>Storage</t>
  </si>
  <si>
    <t>Total Products</t>
  </si>
  <si>
    <t>Min Price</t>
  </si>
  <si>
    <t>Max Price</t>
  </si>
  <si>
    <t>Avg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</si>
</sst>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0" fillId="0" borderId="0" xfId="0" applyProtection="1">
      <protection locked="0"/>
    </xf>
    <xf numFmtId="1" fontId="0" fillId="33" borderId="10" xfId="0" applyNumberFormat="1" applyFill="1" applyBorder="1" applyProtection="1">
      <protection locked="0"/>
    </xf>
    <xf numFmtId="1" fontId="0" fillId="0" borderId="0" xfId="0" applyNumberFormat="1" applyProtection="1">
      <protection locked="0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16" fillId="0" borderId="11" xfId="0" applyFont="1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" formatCode="0"/>
    </dxf>
    <dxf>
      <numFmt numFmtId="1" formatCode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A337EF-E10F-463A-9467-B904E3F71AB0}" autoFormatId="16" applyNumberFormats="0" applyBorderFormats="0" applyFontFormats="0" applyPatternFormats="0" applyAlignmentFormats="0" applyWidthHeightFormats="0">
  <queryTableRefresh nextId="6">
    <queryTableFields count="5">
      <queryTableField id="1" name="Product Name" tableColumnId="1"/>
      <queryTableField id="2" name="URL" tableColumnId="2"/>
      <queryTableField id="3" name="Price" tableColumnId="3"/>
      <queryTableField id="5" dataBound="0" tableColumnId="6"/>
      <queryTableField id="4" name="Bran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7DC6FC-7FC8-4A09-8B2D-7583D29FDE31}" name="Table1_1" displayName="Table1_1" ref="A1:E163" tableType="queryTable" totalsRowShown="0">
  <autoFilter ref="A1:E163" xr:uid="{9A7DC6FC-7FC8-4A09-8B2D-7583D29FDE31}"/>
  <tableColumns count="5">
    <tableColumn id="1" xr3:uid="{CC14F6AB-D011-423F-B951-8072F4F19576}" uniqueName="1" name="Product Name" queryTableFieldId="1"/>
    <tableColumn id="2" xr3:uid="{2AD31DA8-5F0F-4F45-9D5D-7A1321A56ED9}" uniqueName="2" name="URL" queryTableFieldId="2"/>
    <tableColumn id="3" xr3:uid="{7D645C88-2858-4704-A4D2-66266CD48DB7}" uniqueName="3" name="Price" queryTableFieldId="3" dataDxfId="2"/>
    <tableColumn id="6" xr3:uid="{12DA4E4E-6501-49F7-B8A4-CDB2728FF82E}" uniqueName="6" name="Price2" queryTableFieldId="5" dataDxfId="1"/>
    <tableColumn id="4" xr3:uid="{DF2C1C6F-C2EB-4DA3-85C0-71C01CD6F27A}" uniqueName="4" name="Brand" queryTableFieldId="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F74C5-14F6-4FE1-9141-2ED661A68E73}" name="Table1" displayName="Table1" ref="A1:C163" totalsRowShown="0">
  <autoFilter ref="A1:C163" xr:uid="{295F74C5-14F6-4FE1-9141-2ED661A68E73}"/>
  <tableColumns count="3">
    <tableColumn id="1" xr3:uid="{AD7F448C-BE24-4C9C-83AA-21513653B70C}" name="Product Name"/>
    <tableColumn id="2" xr3:uid="{FB32D82A-0C95-4D12-A9E4-F6496A6873E1}" name="URL"/>
    <tableColumn id="3" xr3:uid="{AD1B1EF9-610F-4458-AC21-84EB2E40929A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7546-91F4-46C2-8578-FE34A2DBD619}">
  <dimension ref="A1:J163"/>
  <sheetViews>
    <sheetView tabSelected="1" zoomScale="124" workbookViewId="0">
      <selection activeCell="I7" sqref="I7"/>
    </sheetView>
  </sheetViews>
  <sheetFormatPr defaultRowHeight="14.5" x14ac:dyDescent="0.35"/>
  <cols>
    <col min="1" max="1" width="10.36328125" style="6" bestFit="1" customWidth="1"/>
    <col min="2" max="2" width="44.90625" style="6" customWidth="1"/>
    <col min="3" max="3" width="9.81640625" style="6" customWidth="1"/>
    <col min="4" max="4" width="10.36328125" style="6" customWidth="1"/>
    <col min="6" max="6" width="9.6328125" customWidth="1"/>
    <col min="7" max="7" width="12.7265625" bestFit="1" customWidth="1"/>
    <col min="8" max="8" width="8.54296875" bestFit="1" customWidth="1"/>
    <col min="9" max="9" width="8.81640625" bestFit="1" customWidth="1"/>
    <col min="10" max="10" width="12.08984375" bestFit="1" customWidth="1"/>
  </cols>
  <sheetData>
    <row r="1" spans="1:10" x14ac:dyDescent="0.35">
      <c r="A1" s="5" t="s">
        <v>355</v>
      </c>
      <c r="B1" s="5" t="s">
        <v>353</v>
      </c>
      <c r="C1" s="5" t="s">
        <v>354</v>
      </c>
      <c r="D1" s="5" t="s">
        <v>389</v>
      </c>
      <c r="G1" s="7" t="s">
        <v>390</v>
      </c>
      <c r="H1" s="7" t="s">
        <v>391</v>
      </c>
      <c r="I1" s="7" t="s">
        <v>392</v>
      </c>
      <c r="J1" s="7" t="s">
        <v>393</v>
      </c>
    </row>
    <row r="2" spans="1:10" x14ac:dyDescent="0.35">
      <c r="A2" s="5" t="s">
        <v>356</v>
      </c>
      <c r="B2" s="5" t="s">
        <v>0</v>
      </c>
      <c r="C2" s="5">
        <v>11499</v>
      </c>
      <c r="D2" s="5" t="str">
        <f>IF(ISNUMBER(SEARCH("128",B2)),"128GB","64GB")</f>
        <v>64GB</v>
      </c>
      <c r="G2" s="8">
        <f>COUNTA(A:A)-1</f>
        <v>162</v>
      </c>
      <c r="H2" s="8">
        <f>MIN(C:C)</f>
        <v>480</v>
      </c>
      <c r="I2" s="8">
        <f>MAX(C:C)</f>
        <v>82900</v>
      </c>
      <c r="J2" s="8">
        <f>AVERAGE(C:C)</f>
        <v>13713.265432098766</v>
      </c>
    </row>
    <row r="3" spans="1:10" x14ac:dyDescent="0.35">
      <c r="A3" s="5" t="s">
        <v>357</v>
      </c>
      <c r="B3" s="5" t="s">
        <v>2</v>
      </c>
      <c r="C3" s="5">
        <v>18999</v>
      </c>
      <c r="D3" s="5" t="str">
        <f t="shared" ref="D3:D66" si="0">IF(ISNUMBER(SEARCH("128",B3)),"128GB","64GB")</f>
        <v>128GB</v>
      </c>
    </row>
    <row r="4" spans="1:10" x14ac:dyDescent="0.35">
      <c r="A4" s="5" t="s">
        <v>358</v>
      </c>
      <c r="B4" s="5" t="s">
        <v>4</v>
      </c>
      <c r="C4" s="5">
        <v>8999</v>
      </c>
      <c r="D4" s="5" t="str">
        <f t="shared" si="0"/>
        <v>64GB</v>
      </c>
    </row>
    <row r="5" spans="1:10" x14ac:dyDescent="0.35">
      <c r="A5" s="5" t="s">
        <v>356</v>
      </c>
      <c r="B5" s="5" t="s">
        <v>6</v>
      </c>
      <c r="C5" s="5">
        <v>11499</v>
      </c>
      <c r="D5" s="5" t="str">
        <f t="shared" si="0"/>
        <v>64GB</v>
      </c>
    </row>
    <row r="6" spans="1:10" x14ac:dyDescent="0.35">
      <c r="A6" s="5" t="s">
        <v>356</v>
      </c>
      <c r="B6" s="5" t="s">
        <v>8</v>
      </c>
      <c r="C6" s="5">
        <v>12499</v>
      </c>
      <c r="D6" s="5" t="str">
        <f t="shared" si="0"/>
        <v>128GB</v>
      </c>
    </row>
    <row r="7" spans="1:10" x14ac:dyDescent="0.35">
      <c r="A7" s="5" t="s">
        <v>359</v>
      </c>
      <c r="B7" s="5" t="s">
        <v>10</v>
      </c>
      <c r="C7" s="5">
        <v>13499</v>
      </c>
      <c r="D7" s="5" t="str">
        <f t="shared" si="0"/>
        <v>64GB</v>
      </c>
    </row>
    <row r="8" spans="1:10" x14ac:dyDescent="0.35">
      <c r="A8" s="5" t="s">
        <v>358</v>
      </c>
      <c r="B8" s="5" t="s">
        <v>12</v>
      </c>
      <c r="C8" s="5">
        <v>19999</v>
      </c>
      <c r="D8" s="5" t="str">
        <f t="shared" si="0"/>
        <v>128GB</v>
      </c>
    </row>
    <row r="9" spans="1:10" x14ac:dyDescent="0.35">
      <c r="A9" s="5" t="s">
        <v>360</v>
      </c>
      <c r="B9" s="5" t="s">
        <v>14</v>
      </c>
      <c r="C9" s="5">
        <v>1599</v>
      </c>
      <c r="D9" s="5" t="str">
        <f t="shared" si="0"/>
        <v>64GB</v>
      </c>
    </row>
    <row r="10" spans="1:10" x14ac:dyDescent="0.35">
      <c r="A10" s="5" t="s">
        <v>356</v>
      </c>
      <c r="B10" s="5" t="s">
        <v>16</v>
      </c>
      <c r="C10" s="5">
        <v>11499</v>
      </c>
      <c r="D10" s="5" t="str">
        <f t="shared" si="0"/>
        <v>64GB</v>
      </c>
    </row>
    <row r="11" spans="1:10" x14ac:dyDescent="0.35">
      <c r="A11" s="5" t="s">
        <v>361</v>
      </c>
      <c r="B11" s="5" t="s">
        <v>18</v>
      </c>
      <c r="C11" s="5">
        <v>7999</v>
      </c>
      <c r="D11" s="5" t="str">
        <f t="shared" si="0"/>
        <v>64GB</v>
      </c>
    </row>
    <row r="12" spans="1:10" x14ac:dyDescent="0.35">
      <c r="A12" s="5" t="s">
        <v>361</v>
      </c>
      <c r="B12" s="5" t="s">
        <v>20</v>
      </c>
      <c r="C12" s="5">
        <v>7999</v>
      </c>
      <c r="D12" s="5" t="str">
        <f t="shared" si="0"/>
        <v>64GB</v>
      </c>
    </row>
    <row r="13" spans="1:10" x14ac:dyDescent="0.35">
      <c r="A13" s="5" t="s">
        <v>361</v>
      </c>
      <c r="B13" s="5" t="s">
        <v>22</v>
      </c>
      <c r="C13" s="5">
        <v>8999</v>
      </c>
      <c r="D13" s="5" t="str">
        <f t="shared" si="0"/>
        <v>64GB</v>
      </c>
    </row>
    <row r="14" spans="1:10" x14ac:dyDescent="0.35">
      <c r="A14" s="5" t="s">
        <v>357</v>
      </c>
      <c r="B14" s="5" t="s">
        <v>24</v>
      </c>
      <c r="C14" s="5">
        <v>9999</v>
      </c>
      <c r="D14" s="5" t="str">
        <f t="shared" si="0"/>
        <v>64GB</v>
      </c>
    </row>
    <row r="15" spans="1:10" x14ac:dyDescent="0.35">
      <c r="A15" s="5" t="s">
        <v>359</v>
      </c>
      <c r="B15" s="5" t="s">
        <v>26</v>
      </c>
      <c r="C15" s="5">
        <v>11999</v>
      </c>
      <c r="D15" s="5" t="str">
        <f t="shared" si="0"/>
        <v>128GB</v>
      </c>
    </row>
    <row r="16" spans="1:10" x14ac:dyDescent="0.35">
      <c r="A16" s="5" t="s">
        <v>361</v>
      </c>
      <c r="B16" s="5" t="s">
        <v>28</v>
      </c>
      <c r="C16" s="5">
        <v>7999</v>
      </c>
      <c r="D16" s="5" t="str">
        <f t="shared" si="0"/>
        <v>64GB</v>
      </c>
    </row>
    <row r="17" spans="1:4" x14ac:dyDescent="0.35">
      <c r="A17" s="5" t="s">
        <v>362</v>
      </c>
      <c r="B17" s="5" t="s">
        <v>30</v>
      </c>
      <c r="C17" s="5">
        <v>777</v>
      </c>
      <c r="D17" s="5" t="str">
        <f t="shared" si="0"/>
        <v>64GB</v>
      </c>
    </row>
    <row r="18" spans="1:4" x14ac:dyDescent="0.35">
      <c r="A18" s="5" t="s">
        <v>361</v>
      </c>
      <c r="B18" s="5" t="s">
        <v>32</v>
      </c>
      <c r="C18" s="5">
        <v>7999</v>
      </c>
      <c r="D18" s="5" t="str">
        <f t="shared" si="0"/>
        <v>64GB</v>
      </c>
    </row>
    <row r="19" spans="1:4" x14ac:dyDescent="0.35">
      <c r="A19" s="5" t="s">
        <v>357</v>
      </c>
      <c r="B19" s="5" t="s">
        <v>34</v>
      </c>
      <c r="C19" s="5">
        <v>17999</v>
      </c>
      <c r="D19" s="5" t="str">
        <f t="shared" si="0"/>
        <v>128GB</v>
      </c>
    </row>
    <row r="20" spans="1:4" x14ac:dyDescent="0.35">
      <c r="A20" s="5" t="s">
        <v>363</v>
      </c>
      <c r="B20" s="5" t="s">
        <v>36</v>
      </c>
      <c r="C20" s="5">
        <v>1434</v>
      </c>
      <c r="D20" s="5" t="str">
        <f t="shared" si="0"/>
        <v>64GB</v>
      </c>
    </row>
    <row r="21" spans="1:4" x14ac:dyDescent="0.35">
      <c r="A21" s="5" t="s">
        <v>357</v>
      </c>
      <c r="B21" s="5" t="s">
        <v>38</v>
      </c>
      <c r="C21" s="5">
        <v>32999</v>
      </c>
      <c r="D21" s="5" t="str">
        <f t="shared" si="0"/>
        <v>64GB</v>
      </c>
    </row>
    <row r="22" spans="1:4" x14ac:dyDescent="0.35">
      <c r="A22" s="5" t="s">
        <v>356</v>
      </c>
      <c r="B22" s="5" t="s">
        <v>40</v>
      </c>
      <c r="C22" s="5">
        <v>15499</v>
      </c>
      <c r="D22" s="5" t="str">
        <f t="shared" si="0"/>
        <v>128GB</v>
      </c>
    </row>
    <row r="23" spans="1:4" x14ac:dyDescent="0.35">
      <c r="A23" s="5" t="s">
        <v>357</v>
      </c>
      <c r="B23" s="5" t="s">
        <v>42</v>
      </c>
      <c r="C23" s="5">
        <v>12499</v>
      </c>
      <c r="D23" s="5" t="str">
        <f t="shared" si="0"/>
        <v>128GB</v>
      </c>
    </row>
    <row r="24" spans="1:4" x14ac:dyDescent="0.35">
      <c r="A24" s="5" t="s">
        <v>358</v>
      </c>
      <c r="B24" s="5" t="s">
        <v>44</v>
      </c>
      <c r="C24" s="5">
        <v>8999</v>
      </c>
      <c r="D24" s="5" t="str">
        <f t="shared" si="0"/>
        <v>64GB</v>
      </c>
    </row>
    <row r="25" spans="1:4" x14ac:dyDescent="0.35">
      <c r="A25" s="5" t="s">
        <v>357</v>
      </c>
      <c r="B25" s="5" t="s">
        <v>46</v>
      </c>
      <c r="C25" s="5">
        <v>22999</v>
      </c>
      <c r="D25" s="5" t="str">
        <f t="shared" si="0"/>
        <v>128GB</v>
      </c>
    </row>
    <row r="26" spans="1:4" x14ac:dyDescent="0.35">
      <c r="A26" s="5" t="s">
        <v>364</v>
      </c>
      <c r="B26" s="5" t="s">
        <v>48</v>
      </c>
      <c r="C26" s="5">
        <v>14499</v>
      </c>
      <c r="D26" s="5" t="str">
        <f t="shared" si="0"/>
        <v>128GB</v>
      </c>
    </row>
    <row r="27" spans="1:4" x14ac:dyDescent="0.35">
      <c r="A27" s="5" t="s">
        <v>356</v>
      </c>
      <c r="B27" s="5" t="s">
        <v>50</v>
      </c>
      <c r="C27" s="5">
        <v>16999</v>
      </c>
      <c r="D27" s="5" t="str">
        <f t="shared" si="0"/>
        <v>128GB</v>
      </c>
    </row>
    <row r="28" spans="1:4" x14ac:dyDescent="0.35">
      <c r="A28" s="5" t="s">
        <v>364</v>
      </c>
      <c r="B28" s="5" t="s">
        <v>52</v>
      </c>
      <c r="C28" s="5">
        <v>12999</v>
      </c>
      <c r="D28" s="5" t="str">
        <f t="shared" si="0"/>
        <v>128GB</v>
      </c>
    </row>
    <row r="29" spans="1:4" x14ac:dyDescent="0.35">
      <c r="A29" s="5" t="s">
        <v>365</v>
      </c>
      <c r="B29" s="5" t="s">
        <v>54</v>
      </c>
      <c r="C29" s="5">
        <v>1042</v>
      </c>
      <c r="D29" s="5" t="str">
        <f t="shared" si="0"/>
        <v>64GB</v>
      </c>
    </row>
    <row r="30" spans="1:4" x14ac:dyDescent="0.35">
      <c r="A30" s="5" t="s">
        <v>357</v>
      </c>
      <c r="B30" s="5" t="s">
        <v>56</v>
      </c>
      <c r="C30" s="5">
        <v>15499</v>
      </c>
      <c r="D30" s="5" t="str">
        <f t="shared" si="0"/>
        <v>128GB</v>
      </c>
    </row>
    <row r="31" spans="1:4" x14ac:dyDescent="0.35">
      <c r="A31" s="5" t="s">
        <v>364</v>
      </c>
      <c r="B31" s="5" t="s">
        <v>48</v>
      </c>
      <c r="C31" s="5">
        <v>16499</v>
      </c>
      <c r="D31" s="5" t="str">
        <f t="shared" si="0"/>
        <v>128GB</v>
      </c>
    </row>
    <row r="32" spans="1:4" x14ac:dyDescent="0.35">
      <c r="A32" s="5" t="s">
        <v>357</v>
      </c>
      <c r="B32" s="5" t="s">
        <v>59</v>
      </c>
      <c r="C32" s="5">
        <v>20999</v>
      </c>
      <c r="D32" s="5" t="str">
        <f t="shared" si="0"/>
        <v>128GB</v>
      </c>
    </row>
    <row r="33" spans="1:4" x14ac:dyDescent="0.35">
      <c r="A33" s="5" t="s">
        <v>356</v>
      </c>
      <c r="B33" s="5" t="s">
        <v>61</v>
      </c>
      <c r="C33" s="5">
        <v>10999</v>
      </c>
      <c r="D33" s="5" t="str">
        <f t="shared" si="0"/>
        <v>64GB</v>
      </c>
    </row>
    <row r="34" spans="1:4" x14ac:dyDescent="0.35">
      <c r="A34" s="5" t="s">
        <v>364</v>
      </c>
      <c r="B34" s="5" t="s">
        <v>63</v>
      </c>
      <c r="C34" s="5">
        <v>12999</v>
      </c>
      <c r="D34" s="5" t="str">
        <f t="shared" si="0"/>
        <v>128GB</v>
      </c>
    </row>
    <row r="35" spans="1:4" x14ac:dyDescent="0.35">
      <c r="A35" s="5" t="s">
        <v>361</v>
      </c>
      <c r="B35" s="5" t="s">
        <v>65</v>
      </c>
      <c r="C35" s="5">
        <v>8999</v>
      </c>
      <c r="D35" s="5" t="str">
        <f t="shared" si="0"/>
        <v>64GB</v>
      </c>
    </row>
    <row r="36" spans="1:4" x14ac:dyDescent="0.35">
      <c r="A36" s="5" t="s">
        <v>356</v>
      </c>
      <c r="B36" s="5" t="s">
        <v>67</v>
      </c>
      <c r="C36" s="5">
        <v>11499</v>
      </c>
      <c r="D36" s="5" t="str">
        <f t="shared" si="0"/>
        <v>128GB</v>
      </c>
    </row>
    <row r="37" spans="1:4" x14ac:dyDescent="0.35">
      <c r="A37" s="5" t="s">
        <v>359</v>
      </c>
      <c r="B37" s="5" t="s">
        <v>69</v>
      </c>
      <c r="C37" s="5">
        <v>11999</v>
      </c>
      <c r="D37" s="5" t="str">
        <f t="shared" si="0"/>
        <v>128GB</v>
      </c>
    </row>
    <row r="38" spans="1:4" x14ac:dyDescent="0.35">
      <c r="A38" s="5" t="s">
        <v>358</v>
      </c>
      <c r="B38" s="5" t="s">
        <v>71</v>
      </c>
      <c r="C38" s="5">
        <v>23999</v>
      </c>
      <c r="D38" s="5" t="str">
        <f t="shared" si="0"/>
        <v>64GB</v>
      </c>
    </row>
    <row r="39" spans="1:4" x14ac:dyDescent="0.35">
      <c r="A39" s="5" t="s">
        <v>364</v>
      </c>
      <c r="B39" s="5" t="s">
        <v>52</v>
      </c>
      <c r="C39" s="5">
        <v>14999</v>
      </c>
      <c r="D39" s="5" t="str">
        <f t="shared" si="0"/>
        <v>128GB</v>
      </c>
    </row>
    <row r="40" spans="1:4" x14ac:dyDescent="0.35">
      <c r="A40" s="5" t="s">
        <v>363</v>
      </c>
      <c r="B40" s="5" t="s">
        <v>74</v>
      </c>
      <c r="C40" s="5">
        <v>1579</v>
      </c>
      <c r="D40" s="5" t="str">
        <f t="shared" si="0"/>
        <v>64GB</v>
      </c>
    </row>
    <row r="41" spans="1:4" x14ac:dyDescent="0.35">
      <c r="A41" s="5" t="s">
        <v>364</v>
      </c>
      <c r="B41" s="5" t="s">
        <v>76</v>
      </c>
      <c r="C41" s="5">
        <v>9960</v>
      </c>
      <c r="D41" s="5" t="str">
        <f t="shared" si="0"/>
        <v>64GB</v>
      </c>
    </row>
    <row r="42" spans="1:4" x14ac:dyDescent="0.35">
      <c r="A42" s="5" t="s">
        <v>357</v>
      </c>
      <c r="B42" s="5" t="s">
        <v>78</v>
      </c>
      <c r="C42" s="5">
        <v>18999</v>
      </c>
      <c r="D42" s="5" t="str">
        <f t="shared" si="0"/>
        <v>128GB</v>
      </c>
    </row>
    <row r="43" spans="1:4" x14ac:dyDescent="0.35">
      <c r="A43" s="5" t="s">
        <v>359</v>
      </c>
      <c r="B43" s="5" t="s">
        <v>80</v>
      </c>
      <c r="C43" s="5">
        <v>20999</v>
      </c>
      <c r="D43" s="5" t="str">
        <f t="shared" si="0"/>
        <v>64GB</v>
      </c>
    </row>
    <row r="44" spans="1:4" x14ac:dyDescent="0.35">
      <c r="A44" s="5" t="s">
        <v>364</v>
      </c>
      <c r="B44" s="5" t="s">
        <v>82</v>
      </c>
      <c r="C44" s="5">
        <v>16499</v>
      </c>
      <c r="D44" s="5" t="str">
        <f t="shared" si="0"/>
        <v>128GB</v>
      </c>
    </row>
    <row r="45" spans="1:4" x14ac:dyDescent="0.35">
      <c r="A45" s="5" t="s">
        <v>356</v>
      </c>
      <c r="B45" s="5" t="s">
        <v>84</v>
      </c>
      <c r="C45" s="5">
        <v>12499</v>
      </c>
      <c r="D45" s="5" t="str">
        <f t="shared" si="0"/>
        <v>128GB</v>
      </c>
    </row>
    <row r="46" spans="1:4" x14ac:dyDescent="0.35">
      <c r="A46" s="5" t="s">
        <v>358</v>
      </c>
      <c r="B46" s="5" t="s">
        <v>86</v>
      </c>
      <c r="C46" s="5">
        <v>13989</v>
      </c>
      <c r="D46" s="5" t="str">
        <f t="shared" si="0"/>
        <v>128GB</v>
      </c>
    </row>
    <row r="47" spans="1:4" x14ac:dyDescent="0.35">
      <c r="A47" s="5" t="s">
        <v>356</v>
      </c>
      <c r="B47" s="5" t="s">
        <v>0</v>
      </c>
      <c r="C47" s="5">
        <v>11499</v>
      </c>
      <c r="D47" s="5" t="str">
        <f t="shared" si="0"/>
        <v>64GB</v>
      </c>
    </row>
    <row r="48" spans="1:4" x14ac:dyDescent="0.35">
      <c r="A48" s="5" t="s">
        <v>357</v>
      </c>
      <c r="B48" s="5" t="s">
        <v>2</v>
      </c>
      <c r="C48" s="5">
        <v>18999</v>
      </c>
      <c r="D48" s="5" t="str">
        <f t="shared" si="0"/>
        <v>128GB</v>
      </c>
    </row>
    <row r="49" spans="1:4" x14ac:dyDescent="0.35">
      <c r="A49" s="5" t="s">
        <v>358</v>
      </c>
      <c r="B49" s="5" t="s">
        <v>4</v>
      </c>
      <c r="C49" s="5">
        <v>8999</v>
      </c>
      <c r="D49" s="5" t="str">
        <f t="shared" si="0"/>
        <v>64GB</v>
      </c>
    </row>
    <row r="50" spans="1:4" x14ac:dyDescent="0.35">
      <c r="A50" s="5" t="s">
        <v>356</v>
      </c>
      <c r="B50" s="5" t="s">
        <v>6</v>
      </c>
      <c r="C50" s="5">
        <v>11499</v>
      </c>
      <c r="D50" s="5" t="str">
        <f t="shared" si="0"/>
        <v>64GB</v>
      </c>
    </row>
    <row r="51" spans="1:4" x14ac:dyDescent="0.35">
      <c r="A51" s="5" t="s">
        <v>356</v>
      </c>
      <c r="B51" s="5" t="s">
        <v>8</v>
      </c>
      <c r="C51" s="5">
        <v>12499</v>
      </c>
      <c r="D51" s="5" t="str">
        <f t="shared" si="0"/>
        <v>128GB</v>
      </c>
    </row>
    <row r="52" spans="1:4" x14ac:dyDescent="0.35">
      <c r="A52" s="5" t="s">
        <v>359</v>
      </c>
      <c r="B52" s="5" t="s">
        <v>10</v>
      </c>
      <c r="C52" s="5">
        <v>13499</v>
      </c>
      <c r="D52" s="5" t="str">
        <f t="shared" si="0"/>
        <v>64GB</v>
      </c>
    </row>
    <row r="53" spans="1:4" x14ac:dyDescent="0.35">
      <c r="A53" s="5" t="s">
        <v>358</v>
      </c>
      <c r="B53" s="5" t="s">
        <v>12</v>
      </c>
      <c r="C53" s="5">
        <v>19999</v>
      </c>
      <c r="D53" s="5" t="str">
        <f t="shared" si="0"/>
        <v>128GB</v>
      </c>
    </row>
    <row r="54" spans="1:4" x14ac:dyDescent="0.35">
      <c r="A54" s="5" t="s">
        <v>360</v>
      </c>
      <c r="B54" s="5" t="s">
        <v>14</v>
      </c>
      <c r="C54" s="5">
        <v>1599</v>
      </c>
      <c r="D54" s="5" t="str">
        <f t="shared" si="0"/>
        <v>64GB</v>
      </c>
    </row>
    <row r="55" spans="1:4" x14ac:dyDescent="0.35">
      <c r="A55" s="5" t="s">
        <v>356</v>
      </c>
      <c r="B55" s="5" t="s">
        <v>16</v>
      </c>
      <c r="C55" s="5">
        <v>11499</v>
      </c>
      <c r="D55" s="5" t="str">
        <f t="shared" si="0"/>
        <v>64GB</v>
      </c>
    </row>
    <row r="56" spans="1:4" x14ac:dyDescent="0.35">
      <c r="A56" s="5" t="s">
        <v>361</v>
      </c>
      <c r="B56" s="5" t="s">
        <v>18</v>
      </c>
      <c r="C56" s="5">
        <v>7999</v>
      </c>
      <c r="D56" s="5" t="str">
        <f t="shared" si="0"/>
        <v>64GB</v>
      </c>
    </row>
    <row r="57" spans="1:4" x14ac:dyDescent="0.35">
      <c r="A57" s="5" t="s">
        <v>361</v>
      </c>
      <c r="B57" s="5" t="s">
        <v>20</v>
      </c>
      <c r="C57" s="5">
        <v>7999</v>
      </c>
      <c r="D57" s="5" t="str">
        <f t="shared" si="0"/>
        <v>64GB</v>
      </c>
    </row>
    <row r="58" spans="1:4" x14ac:dyDescent="0.35">
      <c r="A58" s="5" t="s">
        <v>361</v>
      </c>
      <c r="B58" s="5" t="s">
        <v>22</v>
      </c>
      <c r="C58" s="5">
        <v>8999</v>
      </c>
      <c r="D58" s="5" t="str">
        <f t="shared" si="0"/>
        <v>64GB</v>
      </c>
    </row>
    <row r="59" spans="1:4" x14ac:dyDescent="0.35">
      <c r="A59" s="5" t="s">
        <v>357</v>
      </c>
      <c r="B59" s="5" t="s">
        <v>24</v>
      </c>
      <c r="C59" s="5">
        <v>9999</v>
      </c>
      <c r="D59" s="5" t="str">
        <f t="shared" si="0"/>
        <v>64GB</v>
      </c>
    </row>
    <row r="60" spans="1:4" x14ac:dyDescent="0.35">
      <c r="A60" s="5" t="s">
        <v>359</v>
      </c>
      <c r="B60" s="5" t="s">
        <v>26</v>
      </c>
      <c r="C60" s="5">
        <v>11999</v>
      </c>
      <c r="D60" s="5" t="str">
        <f t="shared" si="0"/>
        <v>128GB</v>
      </c>
    </row>
    <row r="61" spans="1:4" x14ac:dyDescent="0.35">
      <c r="A61" s="5" t="s">
        <v>361</v>
      </c>
      <c r="B61" s="5" t="s">
        <v>28</v>
      </c>
      <c r="C61" s="5">
        <v>7999</v>
      </c>
      <c r="D61" s="5" t="str">
        <f t="shared" si="0"/>
        <v>64GB</v>
      </c>
    </row>
    <row r="62" spans="1:4" x14ac:dyDescent="0.35">
      <c r="A62" s="5" t="s">
        <v>362</v>
      </c>
      <c r="B62" s="5" t="s">
        <v>30</v>
      </c>
      <c r="C62" s="5">
        <v>777</v>
      </c>
      <c r="D62" s="5" t="str">
        <f t="shared" si="0"/>
        <v>64GB</v>
      </c>
    </row>
    <row r="63" spans="1:4" x14ac:dyDescent="0.35">
      <c r="A63" s="5" t="s">
        <v>361</v>
      </c>
      <c r="B63" s="5" t="s">
        <v>32</v>
      </c>
      <c r="C63" s="5">
        <v>7999</v>
      </c>
      <c r="D63" s="5" t="str">
        <f t="shared" si="0"/>
        <v>64GB</v>
      </c>
    </row>
    <row r="64" spans="1:4" x14ac:dyDescent="0.35">
      <c r="A64" s="5" t="s">
        <v>357</v>
      </c>
      <c r="B64" s="5" t="s">
        <v>34</v>
      </c>
      <c r="C64" s="5">
        <v>17999</v>
      </c>
      <c r="D64" s="5" t="str">
        <f t="shared" si="0"/>
        <v>128GB</v>
      </c>
    </row>
    <row r="65" spans="1:4" x14ac:dyDescent="0.35">
      <c r="A65" s="5" t="s">
        <v>363</v>
      </c>
      <c r="B65" s="5" t="s">
        <v>36</v>
      </c>
      <c r="C65" s="5">
        <v>1434</v>
      </c>
      <c r="D65" s="5" t="str">
        <f t="shared" si="0"/>
        <v>64GB</v>
      </c>
    </row>
    <row r="66" spans="1:4" x14ac:dyDescent="0.35">
      <c r="A66" s="5" t="s">
        <v>357</v>
      </c>
      <c r="B66" s="5" t="s">
        <v>38</v>
      </c>
      <c r="C66" s="5">
        <v>32999</v>
      </c>
      <c r="D66" s="5" t="str">
        <f t="shared" si="0"/>
        <v>64GB</v>
      </c>
    </row>
    <row r="67" spans="1:4" x14ac:dyDescent="0.35">
      <c r="A67" s="5" t="s">
        <v>356</v>
      </c>
      <c r="B67" s="5" t="s">
        <v>40</v>
      </c>
      <c r="C67" s="5">
        <v>15499</v>
      </c>
      <c r="D67" s="5" t="str">
        <f t="shared" ref="D67:D130" si="1">IF(ISNUMBER(SEARCH("128",B67)),"128GB","64GB")</f>
        <v>128GB</v>
      </c>
    </row>
    <row r="68" spans="1:4" x14ac:dyDescent="0.35">
      <c r="A68" s="5" t="s">
        <v>366</v>
      </c>
      <c r="B68" s="5" t="s">
        <v>109</v>
      </c>
      <c r="C68" s="5">
        <v>13999</v>
      </c>
      <c r="D68" s="5" t="str">
        <f t="shared" si="1"/>
        <v>64GB</v>
      </c>
    </row>
    <row r="69" spans="1:4" x14ac:dyDescent="0.35">
      <c r="A69" s="5" t="s">
        <v>364</v>
      </c>
      <c r="B69" s="5" t="s">
        <v>111</v>
      </c>
      <c r="C69" s="5">
        <v>10399</v>
      </c>
      <c r="D69" s="5" t="str">
        <f t="shared" si="1"/>
        <v>64GB</v>
      </c>
    </row>
    <row r="70" spans="1:4" x14ac:dyDescent="0.35">
      <c r="A70" s="5" t="s">
        <v>367</v>
      </c>
      <c r="B70" s="5" t="s">
        <v>113</v>
      </c>
      <c r="C70" s="5">
        <v>1194</v>
      </c>
      <c r="D70" s="5" t="str">
        <f t="shared" si="1"/>
        <v>64GB</v>
      </c>
    </row>
    <row r="71" spans="1:4" x14ac:dyDescent="0.35">
      <c r="A71" s="5" t="s">
        <v>362</v>
      </c>
      <c r="B71" s="5" t="s">
        <v>115</v>
      </c>
      <c r="C71" s="5">
        <v>599</v>
      </c>
      <c r="D71" s="5" t="str">
        <f t="shared" si="1"/>
        <v>64GB</v>
      </c>
    </row>
    <row r="72" spans="1:4" x14ac:dyDescent="0.35">
      <c r="A72" s="5" t="s">
        <v>356</v>
      </c>
      <c r="B72" s="5" t="s">
        <v>117</v>
      </c>
      <c r="C72" s="5">
        <v>10999</v>
      </c>
      <c r="D72" s="5" t="str">
        <f t="shared" si="1"/>
        <v>64GB</v>
      </c>
    </row>
    <row r="73" spans="1:4" x14ac:dyDescent="0.35">
      <c r="A73" s="5" t="s">
        <v>356</v>
      </c>
      <c r="B73" s="5" t="s">
        <v>119</v>
      </c>
      <c r="C73" s="5">
        <v>9999</v>
      </c>
      <c r="D73" s="5" t="str">
        <f t="shared" si="1"/>
        <v>128GB</v>
      </c>
    </row>
    <row r="74" spans="1:4" x14ac:dyDescent="0.35">
      <c r="A74" s="5" t="s">
        <v>365</v>
      </c>
      <c r="B74" s="5" t="s">
        <v>121</v>
      </c>
      <c r="C74" s="5">
        <v>1304</v>
      </c>
      <c r="D74" s="5" t="str">
        <f t="shared" si="1"/>
        <v>64GB</v>
      </c>
    </row>
    <row r="75" spans="1:4" x14ac:dyDescent="0.35">
      <c r="A75" s="5" t="s">
        <v>357</v>
      </c>
      <c r="B75" s="5" t="s">
        <v>123</v>
      </c>
      <c r="C75" s="5">
        <v>20999</v>
      </c>
      <c r="D75" s="5" t="str">
        <f t="shared" si="1"/>
        <v>128GB</v>
      </c>
    </row>
    <row r="76" spans="1:4" x14ac:dyDescent="0.35">
      <c r="A76" s="5" t="s">
        <v>356</v>
      </c>
      <c r="B76" s="5" t="s">
        <v>40</v>
      </c>
      <c r="C76" s="5">
        <v>16999</v>
      </c>
      <c r="D76" s="5" t="str">
        <f t="shared" si="1"/>
        <v>128GB</v>
      </c>
    </row>
    <row r="77" spans="1:4" x14ac:dyDescent="0.35">
      <c r="A77" s="5" t="s">
        <v>368</v>
      </c>
      <c r="B77" s="5" t="s">
        <v>126</v>
      </c>
      <c r="C77" s="5">
        <v>21900</v>
      </c>
      <c r="D77" s="5" t="str">
        <f t="shared" si="1"/>
        <v>128GB</v>
      </c>
    </row>
    <row r="78" spans="1:4" x14ac:dyDescent="0.35">
      <c r="A78" s="5" t="s">
        <v>357</v>
      </c>
      <c r="B78" s="5" t="s">
        <v>128</v>
      </c>
      <c r="C78" s="5">
        <v>26999</v>
      </c>
      <c r="D78" s="5" t="str">
        <f t="shared" si="1"/>
        <v>128GB</v>
      </c>
    </row>
    <row r="79" spans="1:4" x14ac:dyDescent="0.35">
      <c r="A79" s="5" t="s">
        <v>364</v>
      </c>
      <c r="B79" s="5" t="s">
        <v>130</v>
      </c>
      <c r="C79" s="5">
        <v>9581</v>
      </c>
      <c r="D79" s="5" t="str">
        <f t="shared" si="1"/>
        <v>64GB</v>
      </c>
    </row>
    <row r="80" spans="1:4" x14ac:dyDescent="0.35">
      <c r="A80" s="5" t="s">
        <v>365</v>
      </c>
      <c r="B80" s="5" t="s">
        <v>132</v>
      </c>
      <c r="C80" s="5">
        <v>1994</v>
      </c>
      <c r="D80" s="5" t="str">
        <f t="shared" si="1"/>
        <v>64GB</v>
      </c>
    </row>
    <row r="81" spans="1:4" x14ac:dyDescent="0.35">
      <c r="A81" s="5" t="s">
        <v>359</v>
      </c>
      <c r="B81" s="5" t="s">
        <v>134</v>
      </c>
      <c r="C81" s="5">
        <v>16649</v>
      </c>
      <c r="D81" s="5" t="str">
        <f t="shared" si="1"/>
        <v>128GB</v>
      </c>
    </row>
    <row r="82" spans="1:4" x14ac:dyDescent="0.35">
      <c r="A82" s="5" t="s">
        <v>361</v>
      </c>
      <c r="B82" s="5" t="s">
        <v>136</v>
      </c>
      <c r="C82" s="5">
        <v>9999</v>
      </c>
      <c r="D82" s="5" t="str">
        <f t="shared" si="1"/>
        <v>128GB</v>
      </c>
    </row>
    <row r="83" spans="1:4" x14ac:dyDescent="0.35">
      <c r="A83" s="5" t="s">
        <v>364</v>
      </c>
      <c r="B83" s="5" t="s">
        <v>138</v>
      </c>
      <c r="C83" s="5">
        <v>17448</v>
      </c>
      <c r="D83" s="5" t="str">
        <f t="shared" si="1"/>
        <v>128GB</v>
      </c>
    </row>
    <row r="84" spans="1:4" x14ac:dyDescent="0.35">
      <c r="A84" s="5" t="s">
        <v>365</v>
      </c>
      <c r="B84" s="5" t="s">
        <v>140</v>
      </c>
      <c r="C84" s="5">
        <v>1349</v>
      </c>
      <c r="D84" s="5" t="str">
        <f t="shared" si="1"/>
        <v>64GB</v>
      </c>
    </row>
    <row r="85" spans="1:4" x14ac:dyDescent="0.35">
      <c r="A85" s="5" t="s">
        <v>357</v>
      </c>
      <c r="B85" s="5" t="s">
        <v>142</v>
      </c>
      <c r="C85" s="5">
        <v>22999</v>
      </c>
      <c r="D85" s="5" t="str">
        <f t="shared" si="1"/>
        <v>128GB</v>
      </c>
    </row>
    <row r="86" spans="1:4" x14ac:dyDescent="0.35">
      <c r="A86" s="5" t="s">
        <v>369</v>
      </c>
      <c r="B86" s="5" t="s">
        <v>144</v>
      </c>
      <c r="C86" s="5">
        <v>1342</v>
      </c>
      <c r="D86" s="5" t="str">
        <f t="shared" si="1"/>
        <v>64GB</v>
      </c>
    </row>
    <row r="87" spans="1:4" x14ac:dyDescent="0.35">
      <c r="A87" s="5" t="s">
        <v>364</v>
      </c>
      <c r="B87" s="5" t="s">
        <v>146</v>
      </c>
      <c r="C87" s="5">
        <v>9918</v>
      </c>
      <c r="D87" s="5" t="str">
        <f t="shared" si="1"/>
        <v>64GB</v>
      </c>
    </row>
    <row r="88" spans="1:4" x14ac:dyDescent="0.35">
      <c r="A88" s="5" t="s">
        <v>356</v>
      </c>
      <c r="B88" s="5" t="s">
        <v>148</v>
      </c>
      <c r="C88" s="5">
        <v>11499</v>
      </c>
      <c r="D88" s="5" t="str">
        <f t="shared" si="1"/>
        <v>128GB</v>
      </c>
    </row>
    <row r="89" spans="1:4" x14ac:dyDescent="0.35">
      <c r="A89" s="5" t="s">
        <v>365</v>
      </c>
      <c r="B89" s="5" t="s">
        <v>132</v>
      </c>
      <c r="C89" s="5">
        <v>1994</v>
      </c>
      <c r="D89" s="5" t="str">
        <f t="shared" si="1"/>
        <v>64GB</v>
      </c>
    </row>
    <row r="90" spans="1:4" x14ac:dyDescent="0.35">
      <c r="A90" s="5" t="s">
        <v>356</v>
      </c>
      <c r="B90" s="5" t="s">
        <v>151</v>
      </c>
      <c r="C90" s="5">
        <v>13499</v>
      </c>
      <c r="D90" s="5" t="str">
        <f t="shared" si="1"/>
        <v>128GB</v>
      </c>
    </row>
    <row r="91" spans="1:4" x14ac:dyDescent="0.35">
      <c r="A91" s="5" t="s">
        <v>364</v>
      </c>
      <c r="B91" s="5" t="s">
        <v>153</v>
      </c>
      <c r="C91" s="5">
        <v>12155</v>
      </c>
      <c r="D91" s="5" t="str">
        <f t="shared" si="1"/>
        <v>128GB</v>
      </c>
    </row>
    <row r="92" spans="1:4" x14ac:dyDescent="0.35">
      <c r="A92" s="5" t="s">
        <v>359</v>
      </c>
      <c r="B92" s="5" t="s">
        <v>155</v>
      </c>
      <c r="C92" s="5">
        <v>13499</v>
      </c>
      <c r="D92" s="5" t="str">
        <f t="shared" si="1"/>
        <v>64GB</v>
      </c>
    </row>
    <row r="93" spans="1:4" x14ac:dyDescent="0.35">
      <c r="A93" s="5" t="s">
        <v>364</v>
      </c>
      <c r="B93" s="5" t="s">
        <v>63</v>
      </c>
      <c r="C93" s="5">
        <v>14999</v>
      </c>
      <c r="D93" s="5" t="str">
        <f t="shared" si="1"/>
        <v>128GB</v>
      </c>
    </row>
    <row r="94" spans="1:4" x14ac:dyDescent="0.35">
      <c r="A94" s="5" t="s">
        <v>356</v>
      </c>
      <c r="B94" s="5" t="s">
        <v>158</v>
      </c>
      <c r="C94" s="5">
        <v>13999</v>
      </c>
      <c r="D94" s="5" t="str">
        <f t="shared" si="1"/>
        <v>128GB</v>
      </c>
    </row>
    <row r="95" spans="1:4" x14ac:dyDescent="0.35">
      <c r="A95" s="5" t="s">
        <v>361</v>
      </c>
      <c r="B95" s="5" t="s">
        <v>160</v>
      </c>
      <c r="C95" s="5">
        <v>9999</v>
      </c>
      <c r="D95" s="5" t="str">
        <f t="shared" si="1"/>
        <v>128GB</v>
      </c>
    </row>
    <row r="96" spans="1:4" x14ac:dyDescent="0.35">
      <c r="A96" s="5" t="s">
        <v>357</v>
      </c>
      <c r="B96" s="5" t="s">
        <v>162</v>
      </c>
      <c r="C96" s="5">
        <v>20999</v>
      </c>
      <c r="D96" s="5" t="str">
        <f t="shared" si="1"/>
        <v>128GB</v>
      </c>
    </row>
    <row r="97" spans="1:4" x14ac:dyDescent="0.35">
      <c r="A97" s="5" t="s">
        <v>370</v>
      </c>
      <c r="B97" s="5" t="s">
        <v>164</v>
      </c>
      <c r="C97" s="5">
        <v>29999</v>
      </c>
      <c r="D97" s="5" t="str">
        <f t="shared" si="1"/>
        <v>128GB</v>
      </c>
    </row>
    <row r="98" spans="1:4" x14ac:dyDescent="0.35">
      <c r="A98" s="5" t="s">
        <v>371</v>
      </c>
      <c r="B98" s="5" t="s">
        <v>166</v>
      </c>
      <c r="C98" s="5">
        <v>599</v>
      </c>
      <c r="D98" s="5" t="str">
        <f t="shared" si="1"/>
        <v>64GB</v>
      </c>
    </row>
    <row r="99" spans="1:4" x14ac:dyDescent="0.35">
      <c r="A99" s="5" t="s">
        <v>365</v>
      </c>
      <c r="B99" s="5" t="s">
        <v>140</v>
      </c>
      <c r="C99" s="5">
        <v>1349</v>
      </c>
      <c r="D99" s="5" t="str">
        <f t="shared" si="1"/>
        <v>64GB</v>
      </c>
    </row>
    <row r="100" spans="1:4" x14ac:dyDescent="0.35">
      <c r="A100" s="5" t="s">
        <v>361</v>
      </c>
      <c r="B100" s="5" t="s">
        <v>169</v>
      </c>
      <c r="C100" s="5">
        <v>9999</v>
      </c>
      <c r="D100" s="5" t="str">
        <f t="shared" si="1"/>
        <v>128GB</v>
      </c>
    </row>
    <row r="101" spans="1:4" x14ac:dyDescent="0.35">
      <c r="A101" s="5" t="s">
        <v>363</v>
      </c>
      <c r="B101" s="5" t="s">
        <v>171</v>
      </c>
      <c r="C101" s="5">
        <v>899</v>
      </c>
      <c r="D101" s="5" t="str">
        <f t="shared" si="1"/>
        <v>64GB</v>
      </c>
    </row>
    <row r="102" spans="1:4" x14ac:dyDescent="0.35">
      <c r="A102" s="5" t="s">
        <v>357</v>
      </c>
      <c r="B102" s="5" t="s">
        <v>173</v>
      </c>
      <c r="C102" s="5">
        <v>18999</v>
      </c>
      <c r="D102" s="5" t="str">
        <f t="shared" si="1"/>
        <v>128GB</v>
      </c>
    </row>
    <row r="103" spans="1:4" x14ac:dyDescent="0.35">
      <c r="A103" s="5" t="s">
        <v>365</v>
      </c>
      <c r="B103" s="5" t="s">
        <v>175</v>
      </c>
      <c r="C103" s="5">
        <v>1399</v>
      </c>
      <c r="D103" s="5" t="str">
        <f t="shared" si="1"/>
        <v>64GB</v>
      </c>
    </row>
    <row r="104" spans="1:4" x14ac:dyDescent="0.35">
      <c r="A104" s="5" t="s">
        <v>356</v>
      </c>
      <c r="B104" s="5" t="s">
        <v>177</v>
      </c>
      <c r="C104" s="5">
        <v>13499</v>
      </c>
      <c r="D104" s="5" t="str">
        <f t="shared" si="1"/>
        <v>128GB</v>
      </c>
    </row>
    <row r="105" spans="1:4" x14ac:dyDescent="0.35">
      <c r="A105" s="5" t="s">
        <v>356</v>
      </c>
      <c r="B105" s="5" t="s">
        <v>179</v>
      </c>
      <c r="C105" s="5">
        <v>14499</v>
      </c>
      <c r="D105" s="5" t="str">
        <f t="shared" si="1"/>
        <v>128GB</v>
      </c>
    </row>
    <row r="106" spans="1:4" x14ac:dyDescent="0.35">
      <c r="A106" s="5" t="s">
        <v>359</v>
      </c>
      <c r="B106" s="5" t="s">
        <v>181</v>
      </c>
      <c r="C106" s="5">
        <v>14499</v>
      </c>
      <c r="D106" s="5" t="str">
        <f t="shared" si="1"/>
        <v>128GB</v>
      </c>
    </row>
    <row r="107" spans="1:4" x14ac:dyDescent="0.35">
      <c r="A107" s="5" t="s">
        <v>364</v>
      </c>
      <c r="B107" s="5" t="s">
        <v>183</v>
      </c>
      <c r="C107" s="5">
        <v>16900</v>
      </c>
      <c r="D107" s="5" t="str">
        <f t="shared" si="1"/>
        <v>128GB</v>
      </c>
    </row>
    <row r="108" spans="1:4" x14ac:dyDescent="0.35">
      <c r="A108" s="5" t="s">
        <v>372</v>
      </c>
      <c r="B108" s="5" t="s">
        <v>185</v>
      </c>
      <c r="C108" s="5">
        <v>14999</v>
      </c>
      <c r="D108" s="5" t="str">
        <f t="shared" si="1"/>
        <v>64GB</v>
      </c>
    </row>
    <row r="109" spans="1:4" x14ac:dyDescent="0.35">
      <c r="A109" s="5" t="s">
        <v>356</v>
      </c>
      <c r="B109" s="5" t="s">
        <v>50</v>
      </c>
      <c r="C109" s="5">
        <v>15499</v>
      </c>
      <c r="D109" s="5" t="str">
        <f t="shared" si="1"/>
        <v>128GB</v>
      </c>
    </row>
    <row r="110" spans="1:4" x14ac:dyDescent="0.35">
      <c r="A110" s="5" t="s">
        <v>357</v>
      </c>
      <c r="B110" s="5" t="s">
        <v>188</v>
      </c>
      <c r="C110" s="5">
        <v>9999</v>
      </c>
      <c r="D110" s="5" t="str">
        <f t="shared" si="1"/>
        <v>64GB</v>
      </c>
    </row>
    <row r="111" spans="1:4" x14ac:dyDescent="0.35">
      <c r="A111" s="5" t="s">
        <v>373</v>
      </c>
      <c r="B111" s="5" t="s">
        <v>190</v>
      </c>
      <c r="C111" s="5">
        <v>749</v>
      </c>
      <c r="D111" s="5" t="str">
        <f t="shared" si="1"/>
        <v>64GB</v>
      </c>
    </row>
    <row r="112" spans="1:4" x14ac:dyDescent="0.35">
      <c r="A112" s="5" t="s">
        <v>361</v>
      </c>
      <c r="B112" s="5" t="s">
        <v>192</v>
      </c>
      <c r="C112" s="5">
        <v>10999</v>
      </c>
      <c r="D112" s="5" t="str">
        <f t="shared" si="1"/>
        <v>128GB</v>
      </c>
    </row>
    <row r="113" spans="1:4" x14ac:dyDescent="0.35">
      <c r="A113" s="5" t="s">
        <v>363</v>
      </c>
      <c r="B113" s="5" t="s">
        <v>74</v>
      </c>
      <c r="C113" s="5">
        <v>1579</v>
      </c>
      <c r="D113" s="5" t="str">
        <f t="shared" si="1"/>
        <v>64GB</v>
      </c>
    </row>
    <row r="114" spans="1:4" x14ac:dyDescent="0.35">
      <c r="A114" s="5" t="s">
        <v>374</v>
      </c>
      <c r="B114" s="5" t="s">
        <v>195</v>
      </c>
      <c r="C114" s="5">
        <v>899</v>
      </c>
      <c r="D114" s="5" t="str">
        <f t="shared" si="1"/>
        <v>64GB</v>
      </c>
    </row>
    <row r="115" spans="1:4" x14ac:dyDescent="0.35">
      <c r="A115" s="5" t="s">
        <v>375</v>
      </c>
      <c r="B115" s="5" t="s">
        <v>197</v>
      </c>
      <c r="C115" s="5">
        <v>1496</v>
      </c>
      <c r="D115" s="5" t="str">
        <f t="shared" si="1"/>
        <v>64GB</v>
      </c>
    </row>
    <row r="116" spans="1:4" x14ac:dyDescent="0.35">
      <c r="A116" s="5" t="s">
        <v>356</v>
      </c>
      <c r="B116" s="5" t="s">
        <v>199</v>
      </c>
      <c r="C116" s="5">
        <v>10999</v>
      </c>
      <c r="D116" s="5" t="str">
        <f t="shared" si="1"/>
        <v>64GB</v>
      </c>
    </row>
    <row r="117" spans="1:4" x14ac:dyDescent="0.35">
      <c r="A117" s="5" t="s">
        <v>358</v>
      </c>
      <c r="B117" s="5" t="s">
        <v>201</v>
      </c>
      <c r="C117" s="5">
        <v>16999</v>
      </c>
      <c r="D117" s="5" t="str">
        <f t="shared" si="1"/>
        <v>128GB</v>
      </c>
    </row>
    <row r="118" spans="1:4" x14ac:dyDescent="0.35">
      <c r="A118" s="5" t="s">
        <v>367</v>
      </c>
      <c r="B118" s="5" t="s">
        <v>203</v>
      </c>
      <c r="C118" s="5">
        <v>1341</v>
      </c>
      <c r="D118" s="5" t="str">
        <f t="shared" si="1"/>
        <v>64GB</v>
      </c>
    </row>
    <row r="119" spans="1:4" x14ac:dyDescent="0.35">
      <c r="A119" s="5" t="s">
        <v>358</v>
      </c>
      <c r="B119" s="5" t="s">
        <v>205</v>
      </c>
      <c r="C119" s="5">
        <v>19999</v>
      </c>
      <c r="D119" s="5" t="str">
        <f t="shared" si="1"/>
        <v>128GB</v>
      </c>
    </row>
    <row r="120" spans="1:4" x14ac:dyDescent="0.35">
      <c r="A120" s="5" t="s">
        <v>376</v>
      </c>
      <c r="B120" s="5" t="s">
        <v>207</v>
      </c>
      <c r="C120" s="5">
        <v>82900</v>
      </c>
      <c r="D120" s="5" t="str">
        <f t="shared" si="1"/>
        <v>64GB</v>
      </c>
    </row>
    <row r="121" spans="1:4" x14ac:dyDescent="0.35">
      <c r="A121" s="5" t="s">
        <v>367</v>
      </c>
      <c r="B121" s="5" t="s">
        <v>209</v>
      </c>
      <c r="C121" s="5">
        <v>1589</v>
      </c>
      <c r="D121" s="5" t="str">
        <f t="shared" si="1"/>
        <v>64GB</v>
      </c>
    </row>
    <row r="122" spans="1:4" x14ac:dyDescent="0.35">
      <c r="A122" s="5" t="s">
        <v>365</v>
      </c>
      <c r="B122" s="5" t="s">
        <v>121</v>
      </c>
      <c r="C122" s="5">
        <v>1304</v>
      </c>
      <c r="D122" s="5" t="str">
        <f t="shared" si="1"/>
        <v>64GB</v>
      </c>
    </row>
    <row r="123" spans="1:4" x14ac:dyDescent="0.35">
      <c r="A123" s="5" t="s">
        <v>357</v>
      </c>
      <c r="B123" s="5" t="s">
        <v>212</v>
      </c>
      <c r="C123" s="5">
        <v>9999</v>
      </c>
      <c r="D123" s="5" t="str">
        <f t="shared" si="1"/>
        <v>64GB</v>
      </c>
    </row>
    <row r="124" spans="1:4" x14ac:dyDescent="0.35">
      <c r="A124" s="5" t="s">
        <v>374</v>
      </c>
      <c r="B124" s="5" t="s">
        <v>214</v>
      </c>
      <c r="C124" s="5">
        <v>997</v>
      </c>
      <c r="D124" s="5" t="str">
        <f t="shared" si="1"/>
        <v>64GB</v>
      </c>
    </row>
    <row r="125" spans="1:4" x14ac:dyDescent="0.35">
      <c r="A125" s="5" t="s">
        <v>361</v>
      </c>
      <c r="B125" s="5" t="s">
        <v>216</v>
      </c>
      <c r="C125" s="5">
        <v>9999</v>
      </c>
      <c r="D125" s="5" t="str">
        <f t="shared" si="1"/>
        <v>128GB</v>
      </c>
    </row>
    <row r="126" spans="1:4" x14ac:dyDescent="0.35">
      <c r="A126" s="5" t="s">
        <v>356</v>
      </c>
      <c r="B126" s="5" t="s">
        <v>218</v>
      </c>
      <c r="C126" s="5">
        <v>18999</v>
      </c>
      <c r="D126" s="5" t="str">
        <f t="shared" si="1"/>
        <v>128GB</v>
      </c>
    </row>
    <row r="127" spans="1:4" x14ac:dyDescent="0.35">
      <c r="A127" s="5" t="s">
        <v>371</v>
      </c>
      <c r="B127" s="5" t="s">
        <v>220</v>
      </c>
      <c r="C127" s="5">
        <v>549</v>
      </c>
      <c r="D127" s="5" t="str">
        <f t="shared" si="1"/>
        <v>64GB</v>
      </c>
    </row>
    <row r="128" spans="1:4" x14ac:dyDescent="0.35">
      <c r="A128" s="5" t="s">
        <v>367</v>
      </c>
      <c r="B128" s="5" t="s">
        <v>222</v>
      </c>
      <c r="C128" s="5">
        <v>1049</v>
      </c>
      <c r="D128" s="5" t="str">
        <f t="shared" si="1"/>
        <v>64GB</v>
      </c>
    </row>
    <row r="129" spans="1:4" x14ac:dyDescent="0.35">
      <c r="A129" s="5" t="s">
        <v>370</v>
      </c>
      <c r="B129" s="5" t="s">
        <v>224</v>
      </c>
      <c r="C129" s="5">
        <v>33999</v>
      </c>
      <c r="D129" s="5" t="str">
        <f t="shared" si="1"/>
        <v>64GB</v>
      </c>
    </row>
    <row r="130" spans="1:4" x14ac:dyDescent="0.35">
      <c r="A130" s="5" t="s">
        <v>367</v>
      </c>
      <c r="B130" s="5" t="s">
        <v>226</v>
      </c>
      <c r="C130" s="5">
        <v>1286</v>
      </c>
      <c r="D130" s="5" t="str">
        <f t="shared" si="1"/>
        <v>64GB</v>
      </c>
    </row>
    <row r="131" spans="1:4" x14ac:dyDescent="0.35">
      <c r="A131" s="5" t="s">
        <v>356</v>
      </c>
      <c r="B131" s="5" t="s">
        <v>228</v>
      </c>
      <c r="C131" s="5">
        <v>17999</v>
      </c>
      <c r="D131" s="5" t="str">
        <f t="shared" ref="D131:D163" si="2">IF(ISNUMBER(SEARCH("128",B131)),"128GB","64GB")</f>
        <v>128GB</v>
      </c>
    </row>
    <row r="132" spans="1:4" x14ac:dyDescent="0.35">
      <c r="A132" s="5" t="s">
        <v>357</v>
      </c>
      <c r="B132" s="5" t="s">
        <v>230</v>
      </c>
      <c r="C132" s="5">
        <v>26999</v>
      </c>
      <c r="D132" s="5" t="str">
        <f t="shared" si="2"/>
        <v>128GB</v>
      </c>
    </row>
    <row r="133" spans="1:4" x14ac:dyDescent="0.35">
      <c r="A133" s="5" t="s">
        <v>377</v>
      </c>
      <c r="B133" s="5" t="s">
        <v>232</v>
      </c>
      <c r="C133" s="5">
        <v>28999</v>
      </c>
      <c r="D133" s="5" t="str">
        <f t="shared" si="2"/>
        <v>128GB</v>
      </c>
    </row>
    <row r="134" spans="1:4" x14ac:dyDescent="0.35">
      <c r="A134" s="5" t="s">
        <v>357</v>
      </c>
      <c r="B134" s="5" t="s">
        <v>234</v>
      </c>
      <c r="C134" s="5">
        <v>37999</v>
      </c>
      <c r="D134" s="5" t="str">
        <f t="shared" si="2"/>
        <v>64GB</v>
      </c>
    </row>
    <row r="135" spans="1:4" x14ac:dyDescent="0.35">
      <c r="A135" s="5" t="s">
        <v>378</v>
      </c>
      <c r="B135" s="5" t="s">
        <v>236</v>
      </c>
      <c r="C135" s="5">
        <v>37999</v>
      </c>
      <c r="D135" s="5" t="str">
        <f t="shared" si="2"/>
        <v>64GB</v>
      </c>
    </row>
    <row r="136" spans="1:4" x14ac:dyDescent="0.35">
      <c r="A136" s="5" t="s">
        <v>359</v>
      </c>
      <c r="B136" s="5" t="s">
        <v>238</v>
      </c>
      <c r="C136" s="5">
        <v>9999</v>
      </c>
      <c r="D136" s="5" t="str">
        <f t="shared" si="2"/>
        <v>64GB</v>
      </c>
    </row>
    <row r="137" spans="1:4" x14ac:dyDescent="0.35">
      <c r="A137" s="5" t="s">
        <v>358</v>
      </c>
      <c r="B137" s="5" t="s">
        <v>240</v>
      </c>
      <c r="C137" s="5">
        <v>13499</v>
      </c>
      <c r="D137" s="5" t="str">
        <f t="shared" si="2"/>
        <v>64GB</v>
      </c>
    </row>
    <row r="138" spans="1:4" x14ac:dyDescent="0.35">
      <c r="A138" s="5" t="s">
        <v>358</v>
      </c>
      <c r="B138" s="5" t="s">
        <v>242</v>
      </c>
      <c r="C138" s="5">
        <v>8999</v>
      </c>
      <c r="D138" s="5" t="str">
        <f t="shared" si="2"/>
        <v>64GB</v>
      </c>
    </row>
    <row r="139" spans="1:4" x14ac:dyDescent="0.35">
      <c r="A139" s="5" t="s">
        <v>359</v>
      </c>
      <c r="B139" s="5" t="s">
        <v>244</v>
      </c>
      <c r="C139" s="5">
        <v>13999</v>
      </c>
      <c r="D139" s="5" t="str">
        <f t="shared" si="2"/>
        <v>128GB</v>
      </c>
    </row>
    <row r="140" spans="1:4" x14ac:dyDescent="0.35">
      <c r="A140" s="5" t="s">
        <v>359</v>
      </c>
      <c r="B140" s="5" t="s">
        <v>69</v>
      </c>
      <c r="C140" s="5">
        <v>11999</v>
      </c>
      <c r="D140" s="5" t="str">
        <f t="shared" si="2"/>
        <v>128GB</v>
      </c>
    </row>
    <row r="141" spans="1:4" x14ac:dyDescent="0.35">
      <c r="A141" s="5" t="s">
        <v>376</v>
      </c>
      <c r="B141" s="5" t="s">
        <v>247</v>
      </c>
      <c r="C141" s="5">
        <v>59900</v>
      </c>
      <c r="D141" s="5" t="str">
        <f t="shared" si="2"/>
        <v>128GB</v>
      </c>
    </row>
    <row r="142" spans="1:4" x14ac:dyDescent="0.35">
      <c r="A142" s="5" t="s">
        <v>359</v>
      </c>
      <c r="B142" s="5" t="s">
        <v>249</v>
      </c>
      <c r="C142" s="5">
        <v>20999</v>
      </c>
      <c r="D142" s="5" t="str">
        <f t="shared" si="2"/>
        <v>64GB</v>
      </c>
    </row>
    <row r="143" spans="1:4" x14ac:dyDescent="0.35">
      <c r="A143" s="5" t="s">
        <v>374</v>
      </c>
      <c r="B143" s="5" t="s">
        <v>214</v>
      </c>
      <c r="C143" s="5">
        <v>999</v>
      </c>
      <c r="D143" s="5" t="str">
        <f t="shared" si="2"/>
        <v>64GB</v>
      </c>
    </row>
    <row r="144" spans="1:4" x14ac:dyDescent="0.35">
      <c r="A144" s="5" t="s">
        <v>356</v>
      </c>
      <c r="B144" s="5" t="s">
        <v>84</v>
      </c>
      <c r="C144" s="5">
        <v>12499</v>
      </c>
      <c r="D144" s="5" t="str">
        <f t="shared" si="2"/>
        <v>128GB</v>
      </c>
    </row>
    <row r="145" spans="1:4" x14ac:dyDescent="0.35">
      <c r="A145" s="5" t="s">
        <v>356</v>
      </c>
      <c r="B145" s="5" t="s">
        <v>50</v>
      </c>
      <c r="C145" s="5">
        <v>16999</v>
      </c>
      <c r="D145" s="5" t="str">
        <f t="shared" si="2"/>
        <v>128GB</v>
      </c>
    </row>
    <row r="146" spans="1:4" x14ac:dyDescent="0.35">
      <c r="A146" s="5" t="s">
        <v>357</v>
      </c>
      <c r="B146" s="5" t="s">
        <v>254</v>
      </c>
      <c r="C146" s="5">
        <v>32999</v>
      </c>
      <c r="D146" s="5" t="str">
        <f t="shared" si="2"/>
        <v>64GB</v>
      </c>
    </row>
    <row r="147" spans="1:4" x14ac:dyDescent="0.35">
      <c r="A147" s="5" t="s">
        <v>357</v>
      </c>
      <c r="B147" s="5" t="s">
        <v>256</v>
      </c>
      <c r="C147" s="5">
        <v>1046</v>
      </c>
      <c r="D147" s="5" t="str">
        <f t="shared" si="2"/>
        <v>64GB</v>
      </c>
    </row>
    <row r="148" spans="1:4" x14ac:dyDescent="0.35">
      <c r="A148" s="5" t="s">
        <v>356</v>
      </c>
      <c r="B148" s="5" t="s">
        <v>119</v>
      </c>
      <c r="C148" s="5">
        <v>9999</v>
      </c>
      <c r="D148" s="5" t="str">
        <f t="shared" si="2"/>
        <v>128GB</v>
      </c>
    </row>
    <row r="149" spans="1:4" x14ac:dyDescent="0.35">
      <c r="A149" s="5" t="s">
        <v>376</v>
      </c>
      <c r="B149" s="5" t="s">
        <v>259</v>
      </c>
      <c r="C149" s="5">
        <v>69900</v>
      </c>
      <c r="D149" s="5" t="str">
        <f t="shared" si="2"/>
        <v>128GB</v>
      </c>
    </row>
    <row r="150" spans="1:4" x14ac:dyDescent="0.35">
      <c r="A150" s="5" t="s">
        <v>370</v>
      </c>
      <c r="B150" s="5" t="s">
        <v>261</v>
      </c>
      <c r="C150" s="5">
        <v>16999</v>
      </c>
      <c r="D150" s="5" t="str">
        <f t="shared" si="2"/>
        <v>128GB</v>
      </c>
    </row>
    <row r="151" spans="1:4" x14ac:dyDescent="0.35">
      <c r="A151" s="5" t="s">
        <v>370</v>
      </c>
      <c r="B151" s="5" t="s">
        <v>263</v>
      </c>
      <c r="C151" s="5">
        <v>11844</v>
      </c>
      <c r="D151" s="5" t="str">
        <f t="shared" si="2"/>
        <v>64GB</v>
      </c>
    </row>
    <row r="152" spans="1:4" x14ac:dyDescent="0.35">
      <c r="A152" s="5" t="s">
        <v>365</v>
      </c>
      <c r="B152" s="5" t="s">
        <v>132</v>
      </c>
      <c r="C152" s="5">
        <v>1994</v>
      </c>
      <c r="D152" s="5" t="str">
        <f t="shared" si="2"/>
        <v>64GB</v>
      </c>
    </row>
    <row r="153" spans="1:4" x14ac:dyDescent="0.35">
      <c r="A153" s="5" t="s">
        <v>356</v>
      </c>
      <c r="B153" s="5" t="s">
        <v>228</v>
      </c>
      <c r="C153" s="5">
        <v>15499</v>
      </c>
      <c r="D153" s="5" t="str">
        <f t="shared" si="2"/>
        <v>128GB</v>
      </c>
    </row>
    <row r="154" spans="1:4" x14ac:dyDescent="0.35">
      <c r="A154" s="5" t="s">
        <v>356</v>
      </c>
      <c r="B154" s="5" t="s">
        <v>148</v>
      </c>
      <c r="C154" s="5">
        <v>11499</v>
      </c>
      <c r="D154" s="5" t="str">
        <f t="shared" si="2"/>
        <v>128GB</v>
      </c>
    </row>
    <row r="155" spans="1:4" x14ac:dyDescent="0.35">
      <c r="A155" s="5" t="s">
        <v>371</v>
      </c>
      <c r="B155" s="5" t="s">
        <v>268</v>
      </c>
      <c r="C155" s="5">
        <v>480</v>
      </c>
      <c r="D155" s="5" t="str">
        <f t="shared" si="2"/>
        <v>64GB</v>
      </c>
    </row>
    <row r="156" spans="1:4" x14ac:dyDescent="0.35">
      <c r="A156" s="5" t="s">
        <v>358</v>
      </c>
      <c r="B156" s="5" t="s">
        <v>270</v>
      </c>
      <c r="C156" s="5">
        <v>21999</v>
      </c>
      <c r="D156" s="5" t="str">
        <f t="shared" si="2"/>
        <v>128GB</v>
      </c>
    </row>
    <row r="157" spans="1:4" x14ac:dyDescent="0.35">
      <c r="A157" s="5" t="s">
        <v>370</v>
      </c>
      <c r="B157" s="5" t="s">
        <v>272</v>
      </c>
      <c r="C157" s="5">
        <v>28999</v>
      </c>
      <c r="D157" s="5" t="str">
        <f t="shared" si="2"/>
        <v>64GB</v>
      </c>
    </row>
    <row r="158" spans="1:4" x14ac:dyDescent="0.35">
      <c r="A158" s="5" t="s">
        <v>372</v>
      </c>
      <c r="B158" s="5" t="s">
        <v>274</v>
      </c>
      <c r="C158" s="5">
        <v>21999</v>
      </c>
      <c r="D158" s="5" t="str">
        <f t="shared" si="2"/>
        <v>64GB</v>
      </c>
    </row>
    <row r="159" spans="1:4" x14ac:dyDescent="0.35">
      <c r="A159" s="5" t="s">
        <v>372</v>
      </c>
      <c r="B159" s="5" t="s">
        <v>276</v>
      </c>
      <c r="C159" s="5">
        <v>21999</v>
      </c>
      <c r="D159" s="5" t="str">
        <f t="shared" si="2"/>
        <v>64GB</v>
      </c>
    </row>
    <row r="160" spans="1:4" x14ac:dyDescent="0.35">
      <c r="A160" s="5" t="s">
        <v>357</v>
      </c>
      <c r="B160" s="5" t="s">
        <v>278</v>
      </c>
      <c r="C160" s="5">
        <v>29999</v>
      </c>
      <c r="D160" s="5" t="str">
        <f t="shared" si="2"/>
        <v>64GB</v>
      </c>
    </row>
    <row r="161" spans="1:4" x14ac:dyDescent="0.35">
      <c r="A161" s="5" t="s">
        <v>379</v>
      </c>
      <c r="B161" s="5" t="s">
        <v>280</v>
      </c>
      <c r="C161" s="5">
        <v>599</v>
      </c>
      <c r="D161" s="5" t="str">
        <f t="shared" si="2"/>
        <v>64GB</v>
      </c>
    </row>
    <row r="162" spans="1:4" x14ac:dyDescent="0.35">
      <c r="A162" s="5" t="s">
        <v>357</v>
      </c>
      <c r="B162" s="5" t="s">
        <v>282</v>
      </c>
      <c r="C162" s="5">
        <v>29999</v>
      </c>
      <c r="D162" s="5" t="str">
        <f t="shared" si="2"/>
        <v>64GB</v>
      </c>
    </row>
    <row r="163" spans="1:4" x14ac:dyDescent="0.35">
      <c r="A163" s="5" t="s">
        <v>370</v>
      </c>
      <c r="B163" s="5" t="s">
        <v>272</v>
      </c>
      <c r="C163" s="5">
        <v>26999</v>
      </c>
      <c r="D163" s="5" t="str">
        <f t="shared" si="2"/>
        <v>64GB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EF97-B3C1-4155-BD16-1594FAA38CDD}">
  <dimension ref="A1:K163"/>
  <sheetViews>
    <sheetView workbookViewId="0">
      <selection activeCell="C1" sqref="C1"/>
    </sheetView>
  </sheetViews>
  <sheetFormatPr defaultRowHeight="14.5" x14ac:dyDescent="0.35"/>
  <cols>
    <col min="1" max="1" width="80.6328125" bestFit="1" customWidth="1"/>
    <col min="2" max="2" width="80.7265625" bestFit="1" customWidth="1"/>
    <col min="3" max="3" width="7.453125" style="1" bestFit="1" customWidth="1"/>
    <col min="4" max="4" width="7.453125" style="1" customWidth="1"/>
    <col min="5" max="5" width="10.36328125" bestFit="1" customWidth="1"/>
    <col min="11" max="11" width="8.7265625" style="2"/>
  </cols>
  <sheetData>
    <row r="1" spans="1:11" x14ac:dyDescent="0.35">
      <c r="A1" t="s">
        <v>353</v>
      </c>
      <c r="B1" t="s">
        <v>352</v>
      </c>
      <c r="C1" s="1" t="s">
        <v>354</v>
      </c>
      <c r="D1" s="1" t="s">
        <v>380</v>
      </c>
      <c r="E1" t="s">
        <v>355</v>
      </c>
    </row>
    <row r="2" spans="1:11" x14ac:dyDescent="0.35">
      <c r="A2" t="s">
        <v>0</v>
      </c>
      <c r="B2" t="s">
        <v>1</v>
      </c>
      <c r="C2" s="4" t="s">
        <v>285</v>
      </c>
      <c r="D2" s="1">
        <v>11499</v>
      </c>
      <c r="E2" t="s">
        <v>356</v>
      </c>
    </row>
    <row r="3" spans="1:11" x14ac:dyDescent="0.35">
      <c r="A3" t="s">
        <v>2</v>
      </c>
      <c r="B3" t="s">
        <v>3</v>
      </c>
      <c r="C3" s="4" t="s">
        <v>286</v>
      </c>
      <c r="D3" s="1">
        <v>18999</v>
      </c>
      <c r="E3" t="s">
        <v>357</v>
      </c>
    </row>
    <row r="4" spans="1:11" x14ac:dyDescent="0.35">
      <c r="A4" t="s">
        <v>4</v>
      </c>
      <c r="B4" t="s">
        <v>5</v>
      </c>
      <c r="C4" s="4" t="s">
        <v>287</v>
      </c>
      <c r="D4" s="1">
        <v>8999</v>
      </c>
      <c r="E4" t="s">
        <v>358</v>
      </c>
      <c r="K4" s="3" t="s">
        <v>287</v>
      </c>
    </row>
    <row r="5" spans="1:11" x14ac:dyDescent="0.35">
      <c r="A5" t="s">
        <v>6</v>
      </c>
      <c r="B5" t="s">
        <v>7</v>
      </c>
      <c r="C5" s="4" t="s">
        <v>288</v>
      </c>
      <c r="D5" s="1">
        <v>11499</v>
      </c>
      <c r="E5" t="s">
        <v>356</v>
      </c>
    </row>
    <row r="6" spans="1:11" x14ac:dyDescent="0.35">
      <c r="A6" t="s">
        <v>8</v>
      </c>
      <c r="B6" t="s">
        <v>9</v>
      </c>
      <c r="C6" s="4" t="s">
        <v>289</v>
      </c>
      <c r="D6" s="1">
        <v>12499</v>
      </c>
      <c r="E6" t="s">
        <v>356</v>
      </c>
    </row>
    <row r="7" spans="1:11" x14ac:dyDescent="0.35">
      <c r="A7" t="s">
        <v>10</v>
      </c>
      <c r="B7" t="s">
        <v>11</v>
      </c>
      <c r="C7" s="4" t="s">
        <v>290</v>
      </c>
      <c r="D7" s="1">
        <v>13499</v>
      </c>
      <c r="E7" t="s">
        <v>359</v>
      </c>
    </row>
    <row r="8" spans="1:11" x14ac:dyDescent="0.35">
      <c r="A8" t="s">
        <v>12</v>
      </c>
      <c r="B8" t="s">
        <v>13</v>
      </c>
      <c r="C8" s="4" t="s">
        <v>291</v>
      </c>
      <c r="D8" s="1">
        <v>19999</v>
      </c>
      <c r="E8" t="s">
        <v>358</v>
      </c>
    </row>
    <row r="9" spans="1:11" x14ac:dyDescent="0.35">
      <c r="A9" t="s">
        <v>14</v>
      </c>
      <c r="B9" t="s">
        <v>15</v>
      </c>
      <c r="C9" s="4" t="s">
        <v>292</v>
      </c>
      <c r="D9" s="1">
        <v>1599</v>
      </c>
      <c r="E9" t="s">
        <v>360</v>
      </c>
    </row>
    <row r="10" spans="1:11" x14ac:dyDescent="0.35">
      <c r="A10" t="s">
        <v>16</v>
      </c>
      <c r="B10" t="s">
        <v>17</v>
      </c>
      <c r="C10" s="4" t="s">
        <v>288</v>
      </c>
      <c r="D10" s="1">
        <v>11499</v>
      </c>
      <c r="E10" t="s">
        <v>356</v>
      </c>
    </row>
    <row r="11" spans="1:11" x14ac:dyDescent="0.35">
      <c r="A11" t="s">
        <v>18</v>
      </c>
      <c r="B11" t="s">
        <v>19</v>
      </c>
      <c r="C11" s="4" t="s">
        <v>293</v>
      </c>
      <c r="D11" s="1">
        <v>7999</v>
      </c>
      <c r="E11" t="s">
        <v>361</v>
      </c>
    </row>
    <row r="12" spans="1:11" x14ac:dyDescent="0.35">
      <c r="A12" t="s">
        <v>20</v>
      </c>
      <c r="B12" t="s">
        <v>21</v>
      </c>
      <c r="C12" s="4" t="s">
        <v>293</v>
      </c>
      <c r="D12" s="1">
        <v>7999</v>
      </c>
      <c r="E12" t="s">
        <v>361</v>
      </c>
    </row>
    <row r="13" spans="1:11" x14ac:dyDescent="0.35">
      <c r="A13" t="s">
        <v>22</v>
      </c>
      <c r="B13" t="s">
        <v>23</v>
      </c>
      <c r="C13" s="4" t="s">
        <v>287</v>
      </c>
      <c r="D13" s="1">
        <v>8999</v>
      </c>
      <c r="E13" t="s">
        <v>361</v>
      </c>
    </row>
    <row r="14" spans="1:11" x14ac:dyDescent="0.35">
      <c r="A14" t="s">
        <v>24</v>
      </c>
      <c r="B14" t="s">
        <v>25</v>
      </c>
      <c r="C14" s="4" t="s">
        <v>294</v>
      </c>
      <c r="D14" s="1">
        <v>9999</v>
      </c>
      <c r="E14" t="s">
        <v>357</v>
      </c>
    </row>
    <row r="15" spans="1:11" x14ac:dyDescent="0.35">
      <c r="A15" t="s">
        <v>26</v>
      </c>
      <c r="B15" t="s">
        <v>27</v>
      </c>
      <c r="C15" s="4" t="s">
        <v>295</v>
      </c>
      <c r="D15" s="1">
        <v>11999</v>
      </c>
      <c r="E15" t="s">
        <v>359</v>
      </c>
    </row>
    <row r="16" spans="1:11" x14ac:dyDescent="0.35">
      <c r="A16" t="s">
        <v>28</v>
      </c>
      <c r="B16" t="s">
        <v>29</v>
      </c>
      <c r="C16" s="4" t="s">
        <v>293</v>
      </c>
      <c r="D16" s="1">
        <v>7999</v>
      </c>
      <c r="E16" t="s">
        <v>361</v>
      </c>
    </row>
    <row r="17" spans="1:5" x14ac:dyDescent="0.35">
      <c r="A17" t="s">
        <v>30</v>
      </c>
      <c r="B17" t="s">
        <v>31</v>
      </c>
      <c r="C17" s="4" t="s">
        <v>296</v>
      </c>
      <c r="D17" s="1" t="s">
        <v>381</v>
      </c>
      <c r="E17" t="s">
        <v>362</v>
      </c>
    </row>
    <row r="18" spans="1:5" x14ac:dyDescent="0.35">
      <c r="A18" t="s">
        <v>32</v>
      </c>
      <c r="B18" t="s">
        <v>33</v>
      </c>
      <c r="C18" s="4" t="s">
        <v>293</v>
      </c>
      <c r="D18" s="1">
        <v>7999</v>
      </c>
      <c r="E18" t="s">
        <v>361</v>
      </c>
    </row>
    <row r="19" spans="1:5" x14ac:dyDescent="0.35">
      <c r="A19" t="s">
        <v>34</v>
      </c>
      <c r="B19" t="s">
        <v>35</v>
      </c>
      <c r="C19" s="4" t="s">
        <v>297</v>
      </c>
      <c r="D19" s="1">
        <v>17999</v>
      </c>
      <c r="E19" t="s">
        <v>357</v>
      </c>
    </row>
    <row r="20" spans="1:5" x14ac:dyDescent="0.35">
      <c r="A20" t="s">
        <v>36</v>
      </c>
      <c r="B20" t="s">
        <v>37</v>
      </c>
      <c r="C20" s="4" t="s">
        <v>298</v>
      </c>
      <c r="D20" s="1">
        <v>1434</v>
      </c>
      <c r="E20" t="s">
        <v>363</v>
      </c>
    </row>
    <row r="21" spans="1:5" x14ac:dyDescent="0.35">
      <c r="A21" t="s">
        <v>38</v>
      </c>
      <c r="B21" t="s">
        <v>39</v>
      </c>
      <c r="C21" s="4" t="s">
        <v>299</v>
      </c>
      <c r="D21" s="1">
        <v>32999</v>
      </c>
      <c r="E21" t="s">
        <v>357</v>
      </c>
    </row>
    <row r="22" spans="1:5" x14ac:dyDescent="0.35">
      <c r="A22" t="s">
        <v>40</v>
      </c>
      <c r="B22" t="s">
        <v>41</v>
      </c>
      <c r="C22" s="4" t="s">
        <v>300</v>
      </c>
      <c r="D22" s="1">
        <v>15499</v>
      </c>
      <c r="E22" t="s">
        <v>356</v>
      </c>
    </row>
    <row r="23" spans="1:5" x14ac:dyDescent="0.35">
      <c r="A23" t="s">
        <v>42</v>
      </c>
      <c r="B23" t="s">
        <v>43</v>
      </c>
      <c r="C23" s="4" t="s">
        <v>289</v>
      </c>
      <c r="D23" s="1">
        <v>12499</v>
      </c>
      <c r="E23" t="s">
        <v>357</v>
      </c>
    </row>
    <row r="24" spans="1:5" x14ac:dyDescent="0.35">
      <c r="A24" t="s">
        <v>44</v>
      </c>
      <c r="B24" t="s">
        <v>45</v>
      </c>
      <c r="C24" s="4" t="s">
        <v>287</v>
      </c>
      <c r="D24" s="1">
        <v>8999</v>
      </c>
      <c r="E24" t="s">
        <v>358</v>
      </c>
    </row>
    <row r="25" spans="1:5" x14ac:dyDescent="0.35">
      <c r="A25" t="s">
        <v>46</v>
      </c>
      <c r="B25" t="s">
        <v>47</v>
      </c>
      <c r="C25" s="4" t="s">
        <v>301</v>
      </c>
      <c r="D25" s="1">
        <v>22999</v>
      </c>
      <c r="E25" t="s">
        <v>357</v>
      </c>
    </row>
    <row r="26" spans="1:5" x14ac:dyDescent="0.35">
      <c r="A26" t="s">
        <v>48</v>
      </c>
      <c r="B26" t="s">
        <v>49</v>
      </c>
      <c r="C26" s="4" t="s">
        <v>302</v>
      </c>
      <c r="D26" s="1">
        <v>14499</v>
      </c>
      <c r="E26" t="s">
        <v>364</v>
      </c>
    </row>
    <row r="27" spans="1:5" x14ac:dyDescent="0.35">
      <c r="A27" t="s">
        <v>50</v>
      </c>
      <c r="B27" t="s">
        <v>51</v>
      </c>
      <c r="C27" s="4" t="s">
        <v>303</v>
      </c>
      <c r="D27" s="1">
        <v>16999</v>
      </c>
      <c r="E27" t="s">
        <v>356</v>
      </c>
    </row>
    <row r="28" spans="1:5" x14ac:dyDescent="0.35">
      <c r="A28" t="s">
        <v>52</v>
      </c>
      <c r="B28" t="s">
        <v>53</v>
      </c>
      <c r="C28" s="4" t="s">
        <v>304</v>
      </c>
      <c r="D28" s="1">
        <v>12999</v>
      </c>
      <c r="E28" t="s">
        <v>364</v>
      </c>
    </row>
    <row r="29" spans="1:5" x14ac:dyDescent="0.35">
      <c r="A29" t="s">
        <v>54</v>
      </c>
      <c r="B29" t="s">
        <v>55</v>
      </c>
      <c r="C29" s="4" t="s">
        <v>305</v>
      </c>
      <c r="D29" s="1">
        <v>1042</v>
      </c>
      <c r="E29" t="s">
        <v>365</v>
      </c>
    </row>
    <row r="30" spans="1:5" x14ac:dyDescent="0.35">
      <c r="A30" t="s">
        <v>56</v>
      </c>
      <c r="B30" t="s">
        <v>57</v>
      </c>
      <c r="C30" s="4" t="s">
        <v>300</v>
      </c>
      <c r="D30" s="1">
        <v>15499</v>
      </c>
      <c r="E30" t="s">
        <v>357</v>
      </c>
    </row>
    <row r="31" spans="1:5" x14ac:dyDescent="0.35">
      <c r="A31" t="s">
        <v>48</v>
      </c>
      <c r="B31" t="s">
        <v>58</v>
      </c>
      <c r="C31" s="4" t="s">
        <v>306</v>
      </c>
      <c r="D31" s="1">
        <v>16499</v>
      </c>
      <c r="E31" t="s">
        <v>364</v>
      </c>
    </row>
    <row r="32" spans="1:5" x14ac:dyDescent="0.35">
      <c r="A32" t="s">
        <v>59</v>
      </c>
      <c r="B32" t="s">
        <v>60</v>
      </c>
      <c r="C32" s="4" t="s">
        <v>307</v>
      </c>
      <c r="D32" s="1">
        <v>20999</v>
      </c>
      <c r="E32" t="s">
        <v>357</v>
      </c>
    </row>
    <row r="33" spans="1:5" x14ac:dyDescent="0.35">
      <c r="A33" t="s">
        <v>61</v>
      </c>
      <c r="B33" t="s">
        <v>62</v>
      </c>
      <c r="C33" s="4" t="s">
        <v>308</v>
      </c>
      <c r="D33" s="1">
        <v>10999</v>
      </c>
      <c r="E33" t="s">
        <v>356</v>
      </c>
    </row>
    <row r="34" spans="1:5" x14ac:dyDescent="0.35">
      <c r="A34" t="s">
        <v>63</v>
      </c>
      <c r="B34" t="s">
        <v>64</v>
      </c>
      <c r="C34" s="4" t="s">
        <v>304</v>
      </c>
      <c r="D34" s="1">
        <v>12999</v>
      </c>
      <c r="E34" t="s">
        <v>364</v>
      </c>
    </row>
    <row r="35" spans="1:5" x14ac:dyDescent="0.35">
      <c r="A35" t="s">
        <v>65</v>
      </c>
      <c r="B35" t="s">
        <v>66</v>
      </c>
      <c r="C35" s="4" t="s">
        <v>287</v>
      </c>
      <c r="D35" s="1">
        <v>8999</v>
      </c>
      <c r="E35" t="s">
        <v>361</v>
      </c>
    </row>
    <row r="36" spans="1:5" x14ac:dyDescent="0.35">
      <c r="A36" t="s">
        <v>67</v>
      </c>
      <c r="B36" t="s">
        <v>68</v>
      </c>
      <c r="C36" s="4" t="s">
        <v>288</v>
      </c>
      <c r="D36" s="1">
        <v>11499</v>
      </c>
      <c r="E36" t="s">
        <v>356</v>
      </c>
    </row>
    <row r="37" spans="1:5" x14ac:dyDescent="0.35">
      <c r="A37" t="s">
        <v>69</v>
      </c>
      <c r="B37" t="s">
        <v>70</v>
      </c>
      <c r="C37" s="4" t="s">
        <v>295</v>
      </c>
      <c r="D37" s="1">
        <v>11999</v>
      </c>
      <c r="E37" t="s">
        <v>359</v>
      </c>
    </row>
    <row r="38" spans="1:5" x14ac:dyDescent="0.35">
      <c r="A38" t="s">
        <v>71</v>
      </c>
      <c r="B38" t="s">
        <v>72</v>
      </c>
      <c r="C38" s="4" t="s">
        <v>309</v>
      </c>
      <c r="D38" s="1">
        <v>23999</v>
      </c>
      <c r="E38" t="s">
        <v>358</v>
      </c>
    </row>
    <row r="39" spans="1:5" x14ac:dyDescent="0.35">
      <c r="A39" t="s">
        <v>52</v>
      </c>
      <c r="B39" t="s">
        <v>73</v>
      </c>
      <c r="C39" s="4" t="s">
        <v>310</v>
      </c>
      <c r="D39" s="1">
        <v>14999</v>
      </c>
      <c r="E39" t="s">
        <v>364</v>
      </c>
    </row>
    <row r="40" spans="1:5" x14ac:dyDescent="0.35">
      <c r="A40" t="s">
        <v>74</v>
      </c>
      <c r="B40" t="s">
        <v>75</v>
      </c>
      <c r="C40" s="4" t="s">
        <v>311</v>
      </c>
      <c r="D40" s="1">
        <v>1579</v>
      </c>
      <c r="E40" t="s">
        <v>363</v>
      </c>
    </row>
    <row r="41" spans="1:5" x14ac:dyDescent="0.35">
      <c r="A41" t="s">
        <v>76</v>
      </c>
      <c r="B41" t="s">
        <v>77</v>
      </c>
      <c r="C41" s="4" t="s">
        <v>312</v>
      </c>
      <c r="D41" s="1">
        <v>9960</v>
      </c>
      <c r="E41" t="s">
        <v>364</v>
      </c>
    </row>
    <row r="42" spans="1:5" x14ac:dyDescent="0.35">
      <c r="A42" t="s">
        <v>78</v>
      </c>
      <c r="B42" t="s">
        <v>79</v>
      </c>
      <c r="C42" s="4" t="s">
        <v>286</v>
      </c>
      <c r="D42" s="1">
        <v>18999</v>
      </c>
      <c r="E42" t="s">
        <v>357</v>
      </c>
    </row>
    <row r="43" spans="1:5" x14ac:dyDescent="0.35">
      <c r="A43" t="s">
        <v>80</v>
      </c>
      <c r="B43" t="s">
        <v>81</v>
      </c>
      <c r="C43" s="4" t="s">
        <v>307</v>
      </c>
      <c r="D43" s="1">
        <v>20999</v>
      </c>
      <c r="E43" t="s">
        <v>359</v>
      </c>
    </row>
    <row r="44" spans="1:5" x14ac:dyDescent="0.35">
      <c r="A44" t="s">
        <v>82</v>
      </c>
      <c r="B44" t="s">
        <v>83</v>
      </c>
      <c r="C44" s="4" t="s">
        <v>306</v>
      </c>
      <c r="D44" s="1">
        <v>16499</v>
      </c>
      <c r="E44" t="s">
        <v>364</v>
      </c>
    </row>
    <row r="45" spans="1:5" x14ac:dyDescent="0.35">
      <c r="A45" t="s">
        <v>84</v>
      </c>
      <c r="B45" t="s">
        <v>85</v>
      </c>
      <c r="C45" s="4" t="s">
        <v>289</v>
      </c>
      <c r="D45" s="1">
        <v>12499</v>
      </c>
      <c r="E45" t="s">
        <v>356</v>
      </c>
    </row>
    <row r="46" spans="1:5" x14ac:dyDescent="0.35">
      <c r="A46" t="s">
        <v>86</v>
      </c>
      <c r="B46" t="s">
        <v>87</v>
      </c>
      <c r="C46" s="4" t="s">
        <v>313</v>
      </c>
      <c r="D46" s="1">
        <v>13989</v>
      </c>
      <c r="E46" t="s">
        <v>358</v>
      </c>
    </row>
    <row r="47" spans="1:5" x14ac:dyDescent="0.35">
      <c r="A47" t="s">
        <v>0</v>
      </c>
      <c r="B47" t="s">
        <v>88</v>
      </c>
      <c r="C47" s="4" t="s">
        <v>288</v>
      </c>
      <c r="D47" s="1">
        <v>11499</v>
      </c>
      <c r="E47" t="s">
        <v>356</v>
      </c>
    </row>
    <row r="48" spans="1:5" x14ac:dyDescent="0.35">
      <c r="A48" t="s">
        <v>2</v>
      </c>
      <c r="B48" t="s">
        <v>89</v>
      </c>
      <c r="C48" s="4" t="s">
        <v>286</v>
      </c>
      <c r="D48" s="1">
        <v>18999</v>
      </c>
      <c r="E48" t="s">
        <v>357</v>
      </c>
    </row>
    <row r="49" spans="1:5" x14ac:dyDescent="0.35">
      <c r="A49" t="s">
        <v>4</v>
      </c>
      <c r="B49" t="s">
        <v>90</v>
      </c>
      <c r="C49" s="4" t="s">
        <v>287</v>
      </c>
      <c r="D49" s="1">
        <v>8999</v>
      </c>
      <c r="E49" t="s">
        <v>358</v>
      </c>
    </row>
    <row r="50" spans="1:5" x14ac:dyDescent="0.35">
      <c r="A50" t="s">
        <v>6</v>
      </c>
      <c r="B50" t="s">
        <v>91</v>
      </c>
      <c r="C50" s="4" t="s">
        <v>288</v>
      </c>
      <c r="D50" s="1">
        <v>11499</v>
      </c>
      <c r="E50" t="s">
        <v>356</v>
      </c>
    </row>
    <row r="51" spans="1:5" x14ac:dyDescent="0.35">
      <c r="A51" t="s">
        <v>8</v>
      </c>
      <c r="B51" t="s">
        <v>92</v>
      </c>
      <c r="C51" s="4" t="s">
        <v>289</v>
      </c>
      <c r="D51" s="1">
        <v>12499</v>
      </c>
      <c r="E51" t="s">
        <v>356</v>
      </c>
    </row>
    <row r="52" spans="1:5" x14ac:dyDescent="0.35">
      <c r="A52" t="s">
        <v>10</v>
      </c>
      <c r="B52" t="s">
        <v>93</v>
      </c>
      <c r="C52" s="4" t="s">
        <v>290</v>
      </c>
      <c r="D52" s="1">
        <v>13499</v>
      </c>
      <c r="E52" t="s">
        <v>359</v>
      </c>
    </row>
    <row r="53" spans="1:5" x14ac:dyDescent="0.35">
      <c r="A53" t="s">
        <v>12</v>
      </c>
      <c r="B53" t="s">
        <v>94</v>
      </c>
      <c r="C53" s="4" t="s">
        <v>291</v>
      </c>
      <c r="D53" s="1">
        <v>19999</v>
      </c>
      <c r="E53" t="s">
        <v>358</v>
      </c>
    </row>
    <row r="54" spans="1:5" x14ac:dyDescent="0.35">
      <c r="A54" t="s">
        <v>14</v>
      </c>
      <c r="B54" t="s">
        <v>95</v>
      </c>
      <c r="C54" s="4" t="s">
        <v>292</v>
      </c>
      <c r="D54" s="1">
        <v>1599</v>
      </c>
      <c r="E54" t="s">
        <v>360</v>
      </c>
    </row>
    <row r="55" spans="1:5" x14ac:dyDescent="0.35">
      <c r="A55" t="s">
        <v>16</v>
      </c>
      <c r="B55" t="s">
        <v>96</v>
      </c>
      <c r="C55" s="4" t="s">
        <v>288</v>
      </c>
      <c r="D55" s="1">
        <v>11499</v>
      </c>
      <c r="E55" t="s">
        <v>356</v>
      </c>
    </row>
    <row r="56" spans="1:5" x14ac:dyDescent="0.35">
      <c r="A56" t="s">
        <v>18</v>
      </c>
      <c r="B56" t="s">
        <v>97</v>
      </c>
      <c r="C56" s="4" t="s">
        <v>293</v>
      </c>
      <c r="D56" s="1">
        <v>7999</v>
      </c>
      <c r="E56" t="s">
        <v>361</v>
      </c>
    </row>
    <row r="57" spans="1:5" x14ac:dyDescent="0.35">
      <c r="A57" t="s">
        <v>20</v>
      </c>
      <c r="B57" t="s">
        <v>98</v>
      </c>
      <c r="C57" s="4" t="s">
        <v>293</v>
      </c>
      <c r="D57" s="1">
        <v>7999</v>
      </c>
      <c r="E57" t="s">
        <v>361</v>
      </c>
    </row>
    <row r="58" spans="1:5" x14ac:dyDescent="0.35">
      <c r="A58" t="s">
        <v>22</v>
      </c>
      <c r="B58" t="s">
        <v>99</v>
      </c>
      <c r="C58" s="4" t="s">
        <v>287</v>
      </c>
      <c r="D58" s="1">
        <v>8999</v>
      </c>
      <c r="E58" t="s">
        <v>361</v>
      </c>
    </row>
    <row r="59" spans="1:5" x14ac:dyDescent="0.35">
      <c r="A59" t="s">
        <v>24</v>
      </c>
      <c r="B59" t="s">
        <v>100</v>
      </c>
      <c r="C59" s="4" t="s">
        <v>294</v>
      </c>
      <c r="D59" s="1">
        <v>9999</v>
      </c>
      <c r="E59" t="s">
        <v>357</v>
      </c>
    </row>
    <row r="60" spans="1:5" x14ac:dyDescent="0.35">
      <c r="A60" t="s">
        <v>26</v>
      </c>
      <c r="B60" t="s">
        <v>101</v>
      </c>
      <c r="C60" s="4" t="s">
        <v>295</v>
      </c>
      <c r="D60" s="1">
        <v>11999</v>
      </c>
      <c r="E60" t="s">
        <v>359</v>
      </c>
    </row>
    <row r="61" spans="1:5" x14ac:dyDescent="0.35">
      <c r="A61" t="s">
        <v>28</v>
      </c>
      <c r="B61" t="s">
        <v>102</v>
      </c>
      <c r="C61" s="4" t="s">
        <v>293</v>
      </c>
      <c r="D61" s="1">
        <v>7999</v>
      </c>
      <c r="E61" t="s">
        <v>361</v>
      </c>
    </row>
    <row r="62" spans="1:5" x14ac:dyDescent="0.35">
      <c r="A62" t="s">
        <v>30</v>
      </c>
      <c r="B62" t="s">
        <v>103</v>
      </c>
      <c r="C62" s="4" t="s">
        <v>296</v>
      </c>
      <c r="D62" s="1" t="s">
        <v>381</v>
      </c>
      <c r="E62" t="s">
        <v>362</v>
      </c>
    </row>
    <row r="63" spans="1:5" x14ac:dyDescent="0.35">
      <c r="A63" t="s">
        <v>32</v>
      </c>
      <c r="B63" t="s">
        <v>104</v>
      </c>
      <c r="C63" s="4" t="s">
        <v>293</v>
      </c>
      <c r="D63" s="1">
        <v>7999</v>
      </c>
      <c r="E63" t="s">
        <v>361</v>
      </c>
    </row>
    <row r="64" spans="1:5" x14ac:dyDescent="0.35">
      <c r="A64" t="s">
        <v>34</v>
      </c>
      <c r="B64" t="s">
        <v>105</v>
      </c>
      <c r="C64" s="4" t="s">
        <v>297</v>
      </c>
      <c r="D64" s="1">
        <v>17999</v>
      </c>
      <c r="E64" t="s">
        <v>357</v>
      </c>
    </row>
    <row r="65" spans="1:5" x14ac:dyDescent="0.35">
      <c r="A65" t="s">
        <v>36</v>
      </c>
      <c r="B65" t="s">
        <v>106</v>
      </c>
      <c r="C65" s="4" t="s">
        <v>298</v>
      </c>
      <c r="D65" s="1">
        <v>1434</v>
      </c>
      <c r="E65" t="s">
        <v>363</v>
      </c>
    </row>
    <row r="66" spans="1:5" x14ac:dyDescent="0.35">
      <c r="A66" t="s">
        <v>38</v>
      </c>
      <c r="B66" t="s">
        <v>107</v>
      </c>
      <c r="C66" s="4" t="s">
        <v>299</v>
      </c>
      <c r="D66" s="1">
        <v>32999</v>
      </c>
      <c r="E66" t="s">
        <v>357</v>
      </c>
    </row>
    <row r="67" spans="1:5" x14ac:dyDescent="0.35">
      <c r="A67" t="s">
        <v>40</v>
      </c>
      <c r="B67" t="s">
        <v>108</v>
      </c>
      <c r="C67" s="4" t="s">
        <v>300</v>
      </c>
      <c r="D67" s="1">
        <v>15499</v>
      </c>
      <c r="E67" t="s">
        <v>356</v>
      </c>
    </row>
    <row r="68" spans="1:5" x14ac:dyDescent="0.35">
      <c r="A68" t="s">
        <v>109</v>
      </c>
      <c r="B68" t="s">
        <v>110</v>
      </c>
      <c r="C68" s="4" t="s">
        <v>314</v>
      </c>
      <c r="D68" s="1">
        <v>13999</v>
      </c>
      <c r="E68" t="s">
        <v>366</v>
      </c>
    </row>
    <row r="69" spans="1:5" x14ac:dyDescent="0.35">
      <c r="A69" t="s">
        <v>111</v>
      </c>
      <c r="B69" t="s">
        <v>112</v>
      </c>
      <c r="C69" s="4" t="s">
        <v>315</v>
      </c>
      <c r="D69" s="1">
        <v>10399</v>
      </c>
      <c r="E69" t="s">
        <v>364</v>
      </c>
    </row>
    <row r="70" spans="1:5" x14ac:dyDescent="0.35">
      <c r="A70" t="s">
        <v>113</v>
      </c>
      <c r="B70" t="s">
        <v>114</v>
      </c>
      <c r="C70" s="4" t="s">
        <v>316</v>
      </c>
      <c r="D70" s="1">
        <v>1194</v>
      </c>
      <c r="E70" t="s">
        <v>367</v>
      </c>
    </row>
    <row r="71" spans="1:5" x14ac:dyDescent="0.35">
      <c r="A71" t="s">
        <v>115</v>
      </c>
      <c r="B71" t="s">
        <v>116</v>
      </c>
      <c r="C71" s="4" t="s">
        <v>317</v>
      </c>
      <c r="D71" s="1" t="s">
        <v>382</v>
      </c>
      <c r="E71" t="s">
        <v>362</v>
      </c>
    </row>
    <row r="72" spans="1:5" x14ac:dyDescent="0.35">
      <c r="A72" t="s">
        <v>117</v>
      </c>
      <c r="B72" t="s">
        <v>118</v>
      </c>
      <c r="C72" s="4" t="s">
        <v>308</v>
      </c>
      <c r="D72" s="1">
        <v>10999</v>
      </c>
      <c r="E72" t="s">
        <v>356</v>
      </c>
    </row>
    <row r="73" spans="1:5" x14ac:dyDescent="0.35">
      <c r="A73" t="s">
        <v>119</v>
      </c>
      <c r="B73" t="s">
        <v>120</v>
      </c>
      <c r="C73" s="4" t="s">
        <v>294</v>
      </c>
      <c r="D73" s="1">
        <v>9999</v>
      </c>
      <c r="E73" t="s">
        <v>356</v>
      </c>
    </row>
    <row r="74" spans="1:5" x14ac:dyDescent="0.35">
      <c r="A74" t="s">
        <v>121</v>
      </c>
      <c r="B74" t="s">
        <v>122</v>
      </c>
      <c r="C74" s="4" t="s">
        <v>318</v>
      </c>
      <c r="D74" s="1">
        <v>1304</v>
      </c>
      <c r="E74" t="s">
        <v>365</v>
      </c>
    </row>
    <row r="75" spans="1:5" x14ac:dyDescent="0.35">
      <c r="A75" t="s">
        <v>123</v>
      </c>
      <c r="B75" t="s">
        <v>124</v>
      </c>
      <c r="C75" s="4" t="s">
        <v>307</v>
      </c>
      <c r="D75" s="1">
        <v>20999</v>
      </c>
      <c r="E75" t="s">
        <v>357</v>
      </c>
    </row>
    <row r="76" spans="1:5" x14ac:dyDescent="0.35">
      <c r="A76" t="s">
        <v>40</v>
      </c>
      <c r="B76" t="s">
        <v>125</v>
      </c>
      <c r="C76" s="4" t="s">
        <v>303</v>
      </c>
      <c r="D76" s="1">
        <v>16999</v>
      </c>
      <c r="E76" t="s">
        <v>356</v>
      </c>
    </row>
    <row r="77" spans="1:5" x14ac:dyDescent="0.35">
      <c r="A77" t="s">
        <v>126</v>
      </c>
      <c r="B77" t="s">
        <v>127</v>
      </c>
      <c r="C77" s="4" t="s">
        <v>319</v>
      </c>
      <c r="D77" s="1">
        <v>21900</v>
      </c>
      <c r="E77" t="s">
        <v>368</v>
      </c>
    </row>
    <row r="78" spans="1:5" x14ac:dyDescent="0.35">
      <c r="A78" t="s">
        <v>128</v>
      </c>
      <c r="B78" t="s">
        <v>129</v>
      </c>
      <c r="C78" s="4" t="s">
        <v>320</v>
      </c>
      <c r="D78" s="1">
        <v>26999</v>
      </c>
      <c r="E78" t="s">
        <v>357</v>
      </c>
    </row>
    <row r="79" spans="1:5" x14ac:dyDescent="0.35">
      <c r="A79" t="s">
        <v>130</v>
      </c>
      <c r="B79" t="s">
        <v>131</v>
      </c>
      <c r="C79" s="4" t="s">
        <v>321</v>
      </c>
      <c r="D79" s="1">
        <v>9581</v>
      </c>
      <c r="E79" t="s">
        <v>364</v>
      </c>
    </row>
    <row r="80" spans="1:5" x14ac:dyDescent="0.35">
      <c r="A80" t="s">
        <v>132</v>
      </c>
      <c r="B80" t="s">
        <v>133</v>
      </c>
      <c r="C80" s="4" t="s">
        <v>322</v>
      </c>
      <c r="D80" s="1">
        <v>1994</v>
      </c>
      <c r="E80" t="s">
        <v>365</v>
      </c>
    </row>
    <row r="81" spans="1:5" x14ac:dyDescent="0.35">
      <c r="A81" t="s">
        <v>134</v>
      </c>
      <c r="B81" t="s">
        <v>135</v>
      </c>
      <c r="C81" s="4" t="s">
        <v>323</v>
      </c>
      <c r="D81" s="1">
        <v>16649</v>
      </c>
      <c r="E81" t="s">
        <v>359</v>
      </c>
    </row>
    <row r="82" spans="1:5" x14ac:dyDescent="0.35">
      <c r="A82" t="s">
        <v>136</v>
      </c>
      <c r="B82" t="s">
        <v>137</v>
      </c>
      <c r="C82" s="4" t="s">
        <v>294</v>
      </c>
      <c r="D82" s="1">
        <v>9999</v>
      </c>
      <c r="E82" t="s">
        <v>361</v>
      </c>
    </row>
    <row r="83" spans="1:5" x14ac:dyDescent="0.35">
      <c r="A83" t="s">
        <v>138</v>
      </c>
      <c r="B83" t="s">
        <v>139</v>
      </c>
      <c r="C83" s="4" t="s">
        <v>324</v>
      </c>
      <c r="D83" s="1">
        <v>17448</v>
      </c>
      <c r="E83" t="s">
        <v>364</v>
      </c>
    </row>
    <row r="84" spans="1:5" x14ac:dyDescent="0.35">
      <c r="A84" t="s">
        <v>140</v>
      </c>
      <c r="B84" t="s">
        <v>141</v>
      </c>
      <c r="C84" s="4" t="s">
        <v>325</v>
      </c>
      <c r="D84" s="1">
        <v>1349</v>
      </c>
      <c r="E84" t="s">
        <v>365</v>
      </c>
    </row>
    <row r="85" spans="1:5" x14ac:dyDescent="0.35">
      <c r="A85" t="s">
        <v>142</v>
      </c>
      <c r="B85" t="s">
        <v>143</v>
      </c>
      <c r="C85" s="4" t="s">
        <v>301</v>
      </c>
      <c r="D85" s="1">
        <v>22999</v>
      </c>
      <c r="E85" t="s">
        <v>357</v>
      </c>
    </row>
    <row r="86" spans="1:5" x14ac:dyDescent="0.35">
      <c r="A86" t="s">
        <v>144</v>
      </c>
      <c r="B86" t="s">
        <v>145</v>
      </c>
      <c r="C86" s="4" t="s">
        <v>326</v>
      </c>
      <c r="D86" s="1">
        <v>1342</v>
      </c>
      <c r="E86" t="s">
        <v>369</v>
      </c>
    </row>
    <row r="87" spans="1:5" x14ac:dyDescent="0.35">
      <c r="A87" t="s">
        <v>146</v>
      </c>
      <c r="B87" t="s">
        <v>147</v>
      </c>
      <c r="C87" s="4" t="s">
        <v>327</v>
      </c>
      <c r="D87" s="1">
        <v>9918</v>
      </c>
      <c r="E87" t="s">
        <v>364</v>
      </c>
    </row>
    <row r="88" spans="1:5" x14ac:dyDescent="0.35">
      <c r="A88" t="s">
        <v>148</v>
      </c>
      <c r="B88" t="s">
        <v>149</v>
      </c>
      <c r="C88" s="4" t="s">
        <v>288</v>
      </c>
      <c r="D88" s="1">
        <v>11499</v>
      </c>
      <c r="E88" t="s">
        <v>356</v>
      </c>
    </row>
    <row r="89" spans="1:5" x14ac:dyDescent="0.35">
      <c r="A89" t="s">
        <v>132</v>
      </c>
      <c r="B89" t="s">
        <v>150</v>
      </c>
      <c r="C89" s="4" t="s">
        <v>322</v>
      </c>
      <c r="D89" s="1">
        <v>1994</v>
      </c>
      <c r="E89" t="s">
        <v>365</v>
      </c>
    </row>
    <row r="90" spans="1:5" x14ac:dyDescent="0.35">
      <c r="A90" t="s">
        <v>151</v>
      </c>
      <c r="B90" t="s">
        <v>152</v>
      </c>
      <c r="C90" s="4" t="s">
        <v>290</v>
      </c>
      <c r="D90" s="1">
        <v>13499</v>
      </c>
      <c r="E90" t="s">
        <v>356</v>
      </c>
    </row>
    <row r="91" spans="1:5" x14ac:dyDescent="0.35">
      <c r="A91" t="s">
        <v>153</v>
      </c>
      <c r="B91" t="s">
        <v>154</v>
      </c>
      <c r="C91" s="4" t="s">
        <v>328</v>
      </c>
      <c r="D91" s="1">
        <v>12155</v>
      </c>
      <c r="E91" t="s">
        <v>364</v>
      </c>
    </row>
    <row r="92" spans="1:5" x14ac:dyDescent="0.35">
      <c r="A92" t="s">
        <v>155</v>
      </c>
      <c r="B92" t="s">
        <v>156</v>
      </c>
      <c r="C92" s="4" t="s">
        <v>290</v>
      </c>
      <c r="D92" s="1">
        <v>13499</v>
      </c>
      <c r="E92" t="s">
        <v>359</v>
      </c>
    </row>
    <row r="93" spans="1:5" x14ac:dyDescent="0.35">
      <c r="A93" t="s">
        <v>63</v>
      </c>
      <c r="B93" t="s">
        <v>157</v>
      </c>
      <c r="C93" s="4" t="s">
        <v>310</v>
      </c>
      <c r="D93" s="1">
        <v>14999</v>
      </c>
      <c r="E93" t="s">
        <v>364</v>
      </c>
    </row>
    <row r="94" spans="1:5" x14ac:dyDescent="0.35">
      <c r="A94" t="s">
        <v>158</v>
      </c>
      <c r="B94" t="s">
        <v>159</v>
      </c>
      <c r="C94" s="4" t="s">
        <v>314</v>
      </c>
      <c r="D94" s="1">
        <v>13999</v>
      </c>
      <c r="E94" t="s">
        <v>356</v>
      </c>
    </row>
    <row r="95" spans="1:5" x14ac:dyDescent="0.35">
      <c r="A95" t="s">
        <v>160</v>
      </c>
      <c r="B95" t="s">
        <v>161</v>
      </c>
      <c r="C95" s="4" t="s">
        <v>294</v>
      </c>
      <c r="D95" s="1">
        <v>9999</v>
      </c>
      <c r="E95" t="s">
        <v>361</v>
      </c>
    </row>
    <row r="96" spans="1:5" x14ac:dyDescent="0.35">
      <c r="A96" t="s">
        <v>162</v>
      </c>
      <c r="B96" t="s">
        <v>163</v>
      </c>
      <c r="C96" s="4" t="s">
        <v>307</v>
      </c>
      <c r="D96" s="1">
        <v>20999</v>
      </c>
      <c r="E96" t="s">
        <v>357</v>
      </c>
    </row>
    <row r="97" spans="1:5" x14ac:dyDescent="0.35">
      <c r="A97" t="s">
        <v>164</v>
      </c>
      <c r="B97" t="s">
        <v>165</v>
      </c>
      <c r="C97" s="4" t="s">
        <v>329</v>
      </c>
      <c r="D97" s="1">
        <v>29999</v>
      </c>
      <c r="E97" t="s">
        <v>370</v>
      </c>
    </row>
    <row r="98" spans="1:5" x14ac:dyDescent="0.35">
      <c r="A98" t="s">
        <v>166</v>
      </c>
      <c r="B98" t="s">
        <v>167</v>
      </c>
      <c r="C98" s="4" t="s">
        <v>317</v>
      </c>
      <c r="D98" s="1" t="s">
        <v>382</v>
      </c>
      <c r="E98" t="s">
        <v>371</v>
      </c>
    </row>
    <row r="99" spans="1:5" x14ac:dyDescent="0.35">
      <c r="A99" t="s">
        <v>140</v>
      </c>
      <c r="B99" t="s">
        <v>168</v>
      </c>
      <c r="C99" s="4" t="s">
        <v>325</v>
      </c>
      <c r="D99" s="1">
        <v>1349</v>
      </c>
      <c r="E99" t="s">
        <v>365</v>
      </c>
    </row>
    <row r="100" spans="1:5" x14ac:dyDescent="0.35">
      <c r="A100" t="s">
        <v>169</v>
      </c>
      <c r="B100" t="s">
        <v>170</v>
      </c>
      <c r="C100" s="4" t="s">
        <v>294</v>
      </c>
      <c r="D100" s="1">
        <v>9999</v>
      </c>
      <c r="E100" t="s">
        <v>361</v>
      </c>
    </row>
    <row r="101" spans="1:5" x14ac:dyDescent="0.35">
      <c r="A101" t="s">
        <v>171</v>
      </c>
      <c r="B101" t="s">
        <v>172</v>
      </c>
      <c r="C101" s="4" t="s">
        <v>330</v>
      </c>
      <c r="D101" s="1" t="s">
        <v>383</v>
      </c>
      <c r="E101" t="s">
        <v>363</v>
      </c>
    </row>
    <row r="102" spans="1:5" x14ac:dyDescent="0.35">
      <c r="A102" t="s">
        <v>173</v>
      </c>
      <c r="B102" t="s">
        <v>174</v>
      </c>
      <c r="C102" s="4" t="s">
        <v>286</v>
      </c>
      <c r="D102" s="1">
        <v>18999</v>
      </c>
      <c r="E102" t="s">
        <v>357</v>
      </c>
    </row>
    <row r="103" spans="1:5" x14ac:dyDescent="0.35">
      <c r="A103" t="s">
        <v>175</v>
      </c>
      <c r="B103" t="s">
        <v>176</v>
      </c>
      <c r="C103" s="4" t="s">
        <v>331</v>
      </c>
      <c r="D103" s="1">
        <v>1399</v>
      </c>
      <c r="E103" t="s">
        <v>365</v>
      </c>
    </row>
    <row r="104" spans="1:5" x14ac:dyDescent="0.35">
      <c r="A104" t="s">
        <v>177</v>
      </c>
      <c r="B104" t="s">
        <v>178</v>
      </c>
      <c r="C104" s="4" t="s">
        <v>290</v>
      </c>
      <c r="D104" s="1">
        <v>13499</v>
      </c>
      <c r="E104" t="s">
        <v>356</v>
      </c>
    </row>
    <row r="105" spans="1:5" x14ac:dyDescent="0.35">
      <c r="A105" t="s">
        <v>179</v>
      </c>
      <c r="B105" t="s">
        <v>180</v>
      </c>
      <c r="C105" s="4" t="s">
        <v>302</v>
      </c>
      <c r="D105" s="1">
        <v>14499</v>
      </c>
      <c r="E105" t="s">
        <v>356</v>
      </c>
    </row>
    <row r="106" spans="1:5" x14ac:dyDescent="0.35">
      <c r="A106" t="s">
        <v>181</v>
      </c>
      <c r="B106" t="s">
        <v>182</v>
      </c>
      <c r="C106" s="4" t="s">
        <v>302</v>
      </c>
      <c r="D106" s="1">
        <v>14499</v>
      </c>
      <c r="E106" t="s">
        <v>359</v>
      </c>
    </row>
    <row r="107" spans="1:5" x14ac:dyDescent="0.35">
      <c r="A107" t="s">
        <v>183</v>
      </c>
      <c r="B107" t="s">
        <v>184</v>
      </c>
      <c r="C107" s="4" t="s">
        <v>332</v>
      </c>
      <c r="D107" s="1">
        <v>16900</v>
      </c>
      <c r="E107" t="s">
        <v>364</v>
      </c>
    </row>
    <row r="108" spans="1:5" x14ac:dyDescent="0.35">
      <c r="A108" t="s">
        <v>185</v>
      </c>
      <c r="B108" t="s">
        <v>186</v>
      </c>
      <c r="C108" s="4" t="s">
        <v>310</v>
      </c>
      <c r="D108" s="1">
        <v>14999</v>
      </c>
      <c r="E108" t="s">
        <v>372</v>
      </c>
    </row>
    <row r="109" spans="1:5" x14ac:dyDescent="0.35">
      <c r="A109" t="s">
        <v>50</v>
      </c>
      <c r="B109" t="s">
        <v>187</v>
      </c>
      <c r="C109" s="4" t="s">
        <v>300</v>
      </c>
      <c r="D109" s="1">
        <v>15499</v>
      </c>
      <c r="E109" t="s">
        <v>356</v>
      </c>
    </row>
    <row r="110" spans="1:5" x14ac:dyDescent="0.35">
      <c r="A110" t="s">
        <v>188</v>
      </c>
      <c r="B110" t="s">
        <v>189</v>
      </c>
      <c r="C110" s="4" t="s">
        <v>294</v>
      </c>
      <c r="D110" s="1">
        <v>9999</v>
      </c>
      <c r="E110" t="s">
        <v>357</v>
      </c>
    </row>
    <row r="111" spans="1:5" x14ac:dyDescent="0.35">
      <c r="A111" t="s">
        <v>190</v>
      </c>
      <c r="B111" t="s">
        <v>191</v>
      </c>
      <c r="C111" s="4" t="s">
        <v>333</v>
      </c>
      <c r="D111" s="1" t="s">
        <v>384</v>
      </c>
      <c r="E111" t="s">
        <v>373</v>
      </c>
    </row>
    <row r="112" spans="1:5" x14ac:dyDescent="0.35">
      <c r="A112" t="s">
        <v>192</v>
      </c>
      <c r="B112" t="s">
        <v>193</v>
      </c>
      <c r="C112" s="4" t="s">
        <v>308</v>
      </c>
      <c r="D112" s="1">
        <v>10999</v>
      </c>
      <c r="E112" t="s">
        <v>361</v>
      </c>
    </row>
    <row r="113" spans="1:5" x14ac:dyDescent="0.35">
      <c r="A113" t="s">
        <v>74</v>
      </c>
      <c r="B113" t="s">
        <v>194</v>
      </c>
      <c r="C113" s="4" t="s">
        <v>311</v>
      </c>
      <c r="D113" s="1">
        <v>1579</v>
      </c>
      <c r="E113" t="s">
        <v>363</v>
      </c>
    </row>
    <row r="114" spans="1:5" x14ac:dyDescent="0.35">
      <c r="A114" t="s">
        <v>195</v>
      </c>
      <c r="B114" t="s">
        <v>196</v>
      </c>
      <c r="C114" s="4" t="s">
        <v>330</v>
      </c>
      <c r="D114" s="1" t="s">
        <v>383</v>
      </c>
      <c r="E114" t="s">
        <v>374</v>
      </c>
    </row>
    <row r="115" spans="1:5" x14ac:dyDescent="0.35">
      <c r="A115" t="s">
        <v>197</v>
      </c>
      <c r="B115" t="s">
        <v>198</v>
      </c>
      <c r="C115" s="4" t="s">
        <v>334</v>
      </c>
      <c r="D115" s="1">
        <v>1496</v>
      </c>
      <c r="E115" t="s">
        <v>375</v>
      </c>
    </row>
    <row r="116" spans="1:5" x14ac:dyDescent="0.35">
      <c r="A116" t="s">
        <v>199</v>
      </c>
      <c r="B116" t="s">
        <v>200</v>
      </c>
      <c r="C116" s="4" t="s">
        <v>308</v>
      </c>
      <c r="D116" s="1">
        <v>10999</v>
      </c>
      <c r="E116" t="s">
        <v>356</v>
      </c>
    </row>
    <row r="117" spans="1:5" x14ac:dyDescent="0.35">
      <c r="A117" t="s">
        <v>201</v>
      </c>
      <c r="B117" t="s">
        <v>202</v>
      </c>
      <c r="C117" s="4" t="s">
        <v>303</v>
      </c>
      <c r="D117" s="1">
        <v>16999</v>
      </c>
      <c r="E117" t="s">
        <v>358</v>
      </c>
    </row>
    <row r="118" spans="1:5" x14ac:dyDescent="0.35">
      <c r="A118" t="s">
        <v>203</v>
      </c>
      <c r="B118" t="s">
        <v>204</v>
      </c>
      <c r="C118" s="4" t="s">
        <v>335</v>
      </c>
      <c r="D118" s="1">
        <v>1341</v>
      </c>
      <c r="E118" t="s">
        <v>367</v>
      </c>
    </row>
    <row r="119" spans="1:5" x14ac:dyDescent="0.35">
      <c r="A119" t="s">
        <v>205</v>
      </c>
      <c r="B119" t="s">
        <v>206</v>
      </c>
      <c r="C119" s="4" t="s">
        <v>291</v>
      </c>
      <c r="D119" s="1">
        <v>19999</v>
      </c>
      <c r="E119" t="s">
        <v>358</v>
      </c>
    </row>
    <row r="120" spans="1:5" x14ac:dyDescent="0.35">
      <c r="A120" t="s">
        <v>207</v>
      </c>
      <c r="B120" t="s">
        <v>208</v>
      </c>
      <c r="C120" s="4" t="s">
        <v>336</v>
      </c>
      <c r="D120" s="1">
        <v>82900</v>
      </c>
      <c r="E120" t="s">
        <v>376</v>
      </c>
    </row>
    <row r="121" spans="1:5" x14ac:dyDescent="0.35">
      <c r="A121" t="s">
        <v>209</v>
      </c>
      <c r="B121" t="s">
        <v>210</v>
      </c>
      <c r="C121" s="4" t="s">
        <v>337</v>
      </c>
      <c r="D121" s="1">
        <v>1589</v>
      </c>
      <c r="E121" t="s">
        <v>367</v>
      </c>
    </row>
    <row r="122" spans="1:5" x14ac:dyDescent="0.35">
      <c r="A122" t="s">
        <v>121</v>
      </c>
      <c r="B122" t="s">
        <v>211</v>
      </c>
      <c r="C122" s="4" t="s">
        <v>318</v>
      </c>
      <c r="D122" s="1">
        <v>1304</v>
      </c>
      <c r="E122" t="s">
        <v>365</v>
      </c>
    </row>
    <row r="123" spans="1:5" x14ac:dyDescent="0.35">
      <c r="A123" t="s">
        <v>212</v>
      </c>
      <c r="B123" t="s">
        <v>213</v>
      </c>
      <c r="C123" s="4" t="s">
        <v>294</v>
      </c>
      <c r="D123" s="1">
        <v>9999</v>
      </c>
      <c r="E123" t="s">
        <v>357</v>
      </c>
    </row>
    <row r="124" spans="1:5" x14ac:dyDescent="0.35">
      <c r="A124" t="s">
        <v>214</v>
      </c>
      <c r="B124" t="s">
        <v>215</v>
      </c>
      <c r="C124" s="4" t="s">
        <v>338</v>
      </c>
      <c r="D124" s="1" t="s">
        <v>385</v>
      </c>
      <c r="E124" t="s">
        <v>374</v>
      </c>
    </row>
    <row r="125" spans="1:5" x14ac:dyDescent="0.35">
      <c r="A125" t="s">
        <v>216</v>
      </c>
      <c r="B125" t="s">
        <v>217</v>
      </c>
      <c r="C125" s="4" t="s">
        <v>294</v>
      </c>
      <c r="D125" s="1">
        <v>9999</v>
      </c>
      <c r="E125" t="s">
        <v>361</v>
      </c>
    </row>
    <row r="126" spans="1:5" x14ac:dyDescent="0.35">
      <c r="A126" t="s">
        <v>218</v>
      </c>
      <c r="B126" t="s">
        <v>219</v>
      </c>
      <c r="C126" s="4" t="s">
        <v>286</v>
      </c>
      <c r="D126" s="1">
        <v>18999</v>
      </c>
      <c r="E126" t="s">
        <v>356</v>
      </c>
    </row>
    <row r="127" spans="1:5" x14ac:dyDescent="0.35">
      <c r="A127" t="s">
        <v>220</v>
      </c>
      <c r="B127" t="s">
        <v>221</v>
      </c>
      <c r="C127" s="4" t="s">
        <v>339</v>
      </c>
      <c r="D127" s="1" t="s">
        <v>386</v>
      </c>
      <c r="E127" t="s">
        <v>371</v>
      </c>
    </row>
    <row r="128" spans="1:5" x14ac:dyDescent="0.35">
      <c r="A128" t="s">
        <v>222</v>
      </c>
      <c r="B128" t="s">
        <v>223</v>
      </c>
      <c r="C128" s="4" t="s">
        <v>340</v>
      </c>
      <c r="D128" s="1">
        <v>1049</v>
      </c>
      <c r="E128" t="s">
        <v>367</v>
      </c>
    </row>
    <row r="129" spans="1:5" x14ac:dyDescent="0.35">
      <c r="A129" t="s">
        <v>224</v>
      </c>
      <c r="B129" t="s">
        <v>225</v>
      </c>
      <c r="C129" s="4" t="s">
        <v>341</v>
      </c>
      <c r="D129" s="1">
        <v>33999</v>
      </c>
      <c r="E129" t="s">
        <v>370</v>
      </c>
    </row>
    <row r="130" spans="1:5" x14ac:dyDescent="0.35">
      <c r="A130" t="s">
        <v>226</v>
      </c>
      <c r="B130" t="s">
        <v>227</v>
      </c>
      <c r="C130" s="4" t="s">
        <v>342</v>
      </c>
      <c r="D130" s="1">
        <v>1286</v>
      </c>
      <c r="E130" t="s">
        <v>367</v>
      </c>
    </row>
    <row r="131" spans="1:5" x14ac:dyDescent="0.35">
      <c r="A131" t="s">
        <v>228</v>
      </c>
      <c r="B131" t="s">
        <v>229</v>
      </c>
      <c r="C131" s="4" t="s">
        <v>297</v>
      </c>
      <c r="D131" s="1">
        <v>17999</v>
      </c>
      <c r="E131" t="s">
        <v>356</v>
      </c>
    </row>
    <row r="132" spans="1:5" x14ac:dyDescent="0.35">
      <c r="A132" t="s">
        <v>230</v>
      </c>
      <c r="B132" t="s">
        <v>231</v>
      </c>
      <c r="C132" s="4" t="s">
        <v>320</v>
      </c>
      <c r="D132" s="1">
        <v>26999</v>
      </c>
      <c r="E132" t="s">
        <v>357</v>
      </c>
    </row>
    <row r="133" spans="1:5" x14ac:dyDescent="0.35">
      <c r="A133" t="s">
        <v>232</v>
      </c>
      <c r="B133" t="s">
        <v>233</v>
      </c>
      <c r="C133" s="4" t="s">
        <v>343</v>
      </c>
      <c r="D133" s="1">
        <v>28999</v>
      </c>
      <c r="E133" t="s">
        <v>377</v>
      </c>
    </row>
    <row r="134" spans="1:5" x14ac:dyDescent="0.35">
      <c r="A134" t="s">
        <v>234</v>
      </c>
      <c r="B134" t="s">
        <v>235</v>
      </c>
      <c r="C134" s="4" t="s">
        <v>344</v>
      </c>
      <c r="D134" s="1">
        <v>37999</v>
      </c>
      <c r="E134" t="s">
        <v>357</v>
      </c>
    </row>
    <row r="135" spans="1:5" x14ac:dyDescent="0.35">
      <c r="A135" t="s">
        <v>236</v>
      </c>
      <c r="B135" t="s">
        <v>237</v>
      </c>
      <c r="C135" s="4" t="s">
        <v>344</v>
      </c>
      <c r="D135" s="1">
        <v>37999</v>
      </c>
      <c r="E135" t="s">
        <v>378</v>
      </c>
    </row>
    <row r="136" spans="1:5" x14ac:dyDescent="0.35">
      <c r="A136" t="s">
        <v>238</v>
      </c>
      <c r="B136" t="s">
        <v>239</v>
      </c>
      <c r="C136" s="4" t="s">
        <v>294</v>
      </c>
      <c r="D136" s="1">
        <v>9999</v>
      </c>
      <c r="E136" t="s">
        <v>359</v>
      </c>
    </row>
    <row r="137" spans="1:5" x14ac:dyDescent="0.35">
      <c r="A137" t="s">
        <v>240</v>
      </c>
      <c r="B137" t="s">
        <v>241</v>
      </c>
      <c r="C137" s="4" t="s">
        <v>290</v>
      </c>
      <c r="D137" s="1">
        <v>13499</v>
      </c>
      <c r="E137" t="s">
        <v>358</v>
      </c>
    </row>
    <row r="138" spans="1:5" x14ac:dyDescent="0.35">
      <c r="A138" t="s">
        <v>242</v>
      </c>
      <c r="B138" t="s">
        <v>243</v>
      </c>
      <c r="C138" s="4" t="s">
        <v>287</v>
      </c>
      <c r="D138" s="1">
        <v>8999</v>
      </c>
      <c r="E138" t="s">
        <v>358</v>
      </c>
    </row>
    <row r="139" spans="1:5" x14ac:dyDescent="0.35">
      <c r="A139" t="s">
        <v>244</v>
      </c>
      <c r="B139" t="s">
        <v>245</v>
      </c>
      <c r="C139" s="4" t="s">
        <v>314</v>
      </c>
      <c r="D139" s="1">
        <v>13999</v>
      </c>
      <c r="E139" t="s">
        <v>359</v>
      </c>
    </row>
    <row r="140" spans="1:5" x14ac:dyDescent="0.35">
      <c r="A140" t="s">
        <v>69</v>
      </c>
      <c r="B140" t="s">
        <v>246</v>
      </c>
      <c r="C140" s="4" t="s">
        <v>295</v>
      </c>
      <c r="D140" s="1">
        <v>11999</v>
      </c>
      <c r="E140" t="s">
        <v>359</v>
      </c>
    </row>
    <row r="141" spans="1:5" x14ac:dyDescent="0.35">
      <c r="A141" t="s">
        <v>247</v>
      </c>
      <c r="B141" t="s">
        <v>248</v>
      </c>
      <c r="C141" s="4" t="s">
        <v>345</v>
      </c>
      <c r="D141" s="1">
        <v>59900</v>
      </c>
      <c r="E141" t="s">
        <v>376</v>
      </c>
    </row>
    <row r="142" spans="1:5" x14ac:dyDescent="0.35">
      <c r="A142" t="s">
        <v>249</v>
      </c>
      <c r="B142" t="s">
        <v>250</v>
      </c>
      <c r="C142" s="4" t="s">
        <v>307</v>
      </c>
      <c r="D142" s="1">
        <v>20999</v>
      </c>
      <c r="E142" t="s">
        <v>359</v>
      </c>
    </row>
    <row r="143" spans="1:5" x14ac:dyDescent="0.35">
      <c r="A143" t="s">
        <v>214</v>
      </c>
      <c r="B143" t="s">
        <v>251</v>
      </c>
      <c r="C143" s="4" t="s">
        <v>346</v>
      </c>
      <c r="D143" s="1" t="s">
        <v>387</v>
      </c>
      <c r="E143" t="s">
        <v>374</v>
      </c>
    </row>
    <row r="144" spans="1:5" x14ac:dyDescent="0.35">
      <c r="A144" t="s">
        <v>84</v>
      </c>
      <c r="B144" t="s">
        <v>252</v>
      </c>
      <c r="C144" s="4" t="s">
        <v>289</v>
      </c>
      <c r="D144" s="1">
        <v>12499</v>
      </c>
      <c r="E144" t="s">
        <v>356</v>
      </c>
    </row>
    <row r="145" spans="1:5" x14ac:dyDescent="0.35">
      <c r="A145" t="s">
        <v>50</v>
      </c>
      <c r="B145" t="s">
        <v>253</v>
      </c>
      <c r="C145" s="4" t="s">
        <v>303</v>
      </c>
      <c r="D145" s="1">
        <v>16999</v>
      </c>
      <c r="E145" t="s">
        <v>356</v>
      </c>
    </row>
    <row r="146" spans="1:5" x14ac:dyDescent="0.35">
      <c r="A146" t="s">
        <v>254</v>
      </c>
      <c r="B146" t="s">
        <v>255</v>
      </c>
      <c r="C146" s="4" t="s">
        <v>299</v>
      </c>
      <c r="D146" s="1">
        <v>32999</v>
      </c>
      <c r="E146" t="s">
        <v>357</v>
      </c>
    </row>
    <row r="147" spans="1:5" x14ac:dyDescent="0.35">
      <c r="A147" t="s">
        <v>256</v>
      </c>
      <c r="B147" t="s">
        <v>257</v>
      </c>
      <c r="C147" s="4" t="s">
        <v>347</v>
      </c>
      <c r="D147" s="1">
        <v>1046</v>
      </c>
      <c r="E147" t="s">
        <v>357</v>
      </c>
    </row>
    <row r="148" spans="1:5" x14ac:dyDescent="0.35">
      <c r="A148" t="s">
        <v>119</v>
      </c>
      <c r="B148" t="s">
        <v>258</v>
      </c>
      <c r="C148" s="4" t="s">
        <v>294</v>
      </c>
      <c r="D148" s="1">
        <v>9999</v>
      </c>
      <c r="E148" t="s">
        <v>356</v>
      </c>
    </row>
    <row r="149" spans="1:5" x14ac:dyDescent="0.35">
      <c r="A149" t="s">
        <v>259</v>
      </c>
      <c r="B149" t="s">
        <v>260</v>
      </c>
      <c r="C149" s="4" t="s">
        <v>348</v>
      </c>
      <c r="D149" s="1">
        <v>69900</v>
      </c>
      <c r="E149" t="s">
        <v>376</v>
      </c>
    </row>
    <row r="150" spans="1:5" x14ac:dyDescent="0.35">
      <c r="A150" t="s">
        <v>261</v>
      </c>
      <c r="B150" t="s">
        <v>262</v>
      </c>
      <c r="C150" s="4" t="s">
        <v>303</v>
      </c>
      <c r="D150" s="1">
        <v>16999</v>
      </c>
      <c r="E150" t="s">
        <v>370</v>
      </c>
    </row>
    <row r="151" spans="1:5" x14ac:dyDescent="0.35">
      <c r="A151" t="s">
        <v>263</v>
      </c>
      <c r="B151" t="s">
        <v>264</v>
      </c>
      <c r="C151" s="4" t="s">
        <v>349</v>
      </c>
      <c r="D151" s="1">
        <v>11844</v>
      </c>
      <c r="E151" t="s">
        <v>370</v>
      </c>
    </row>
    <row r="152" spans="1:5" x14ac:dyDescent="0.35">
      <c r="A152" t="s">
        <v>132</v>
      </c>
      <c r="B152" t="s">
        <v>265</v>
      </c>
      <c r="C152" s="4" t="s">
        <v>322</v>
      </c>
      <c r="D152" s="1">
        <v>1994</v>
      </c>
      <c r="E152" t="s">
        <v>365</v>
      </c>
    </row>
    <row r="153" spans="1:5" x14ac:dyDescent="0.35">
      <c r="A153" t="s">
        <v>228</v>
      </c>
      <c r="B153" t="s">
        <v>266</v>
      </c>
      <c r="C153" s="4" t="s">
        <v>300</v>
      </c>
      <c r="D153" s="1">
        <v>15499</v>
      </c>
      <c r="E153" t="s">
        <v>356</v>
      </c>
    </row>
    <row r="154" spans="1:5" x14ac:dyDescent="0.35">
      <c r="A154" t="s">
        <v>148</v>
      </c>
      <c r="B154" t="s">
        <v>267</v>
      </c>
      <c r="C154" s="4" t="s">
        <v>288</v>
      </c>
      <c r="D154" s="1">
        <v>11499</v>
      </c>
      <c r="E154" t="s">
        <v>356</v>
      </c>
    </row>
    <row r="155" spans="1:5" x14ac:dyDescent="0.35">
      <c r="A155" t="s">
        <v>268</v>
      </c>
      <c r="B155" t="s">
        <v>269</v>
      </c>
      <c r="C155" s="4" t="s">
        <v>350</v>
      </c>
      <c r="D155" s="1" t="s">
        <v>388</v>
      </c>
      <c r="E155" t="s">
        <v>371</v>
      </c>
    </row>
    <row r="156" spans="1:5" x14ac:dyDescent="0.35">
      <c r="A156" t="s">
        <v>270</v>
      </c>
      <c r="B156" t="s">
        <v>271</v>
      </c>
      <c r="C156" s="4" t="s">
        <v>351</v>
      </c>
      <c r="D156" s="1">
        <v>21999</v>
      </c>
      <c r="E156" t="s">
        <v>358</v>
      </c>
    </row>
    <row r="157" spans="1:5" x14ac:dyDescent="0.35">
      <c r="A157" t="s">
        <v>272</v>
      </c>
      <c r="B157" t="s">
        <v>273</v>
      </c>
      <c r="C157" s="4" t="s">
        <v>343</v>
      </c>
      <c r="D157" s="1">
        <v>28999</v>
      </c>
      <c r="E157" t="s">
        <v>370</v>
      </c>
    </row>
    <row r="158" spans="1:5" x14ac:dyDescent="0.35">
      <c r="A158" t="s">
        <v>274</v>
      </c>
      <c r="B158" t="s">
        <v>275</v>
      </c>
      <c r="C158" s="4" t="s">
        <v>351</v>
      </c>
      <c r="D158" s="1">
        <v>21999</v>
      </c>
      <c r="E158" t="s">
        <v>372</v>
      </c>
    </row>
    <row r="159" spans="1:5" x14ac:dyDescent="0.35">
      <c r="A159" t="s">
        <v>276</v>
      </c>
      <c r="B159" t="s">
        <v>277</v>
      </c>
      <c r="C159" s="4" t="s">
        <v>351</v>
      </c>
      <c r="D159" s="1">
        <v>21999</v>
      </c>
      <c r="E159" t="s">
        <v>372</v>
      </c>
    </row>
    <row r="160" spans="1:5" x14ac:dyDescent="0.35">
      <c r="A160" t="s">
        <v>278</v>
      </c>
      <c r="B160" t="s">
        <v>279</v>
      </c>
      <c r="C160" s="4" t="s">
        <v>329</v>
      </c>
      <c r="D160" s="1">
        <v>29999</v>
      </c>
      <c r="E160" t="s">
        <v>357</v>
      </c>
    </row>
    <row r="161" spans="1:5" x14ac:dyDescent="0.35">
      <c r="A161" t="s">
        <v>280</v>
      </c>
      <c r="B161" t="s">
        <v>281</v>
      </c>
      <c r="C161" s="4" t="s">
        <v>317</v>
      </c>
      <c r="D161" s="1" t="s">
        <v>382</v>
      </c>
      <c r="E161" t="s">
        <v>379</v>
      </c>
    </row>
    <row r="162" spans="1:5" x14ac:dyDescent="0.35">
      <c r="A162" t="s">
        <v>282</v>
      </c>
      <c r="B162" t="s">
        <v>283</v>
      </c>
      <c r="C162" s="4" t="s">
        <v>329</v>
      </c>
      <c r="D162" s="1">
        <v>29999</v>
      </c>
      <c r="E162" t="s">
        <v>357</v>
      </c>
    </row>
    <row r="163" spans="1:5" x14ac:dyDescent="0.35">
      <c r="A163" t="s">
        <v>272</v>
      </c>
      <c r="B163" t="s">
        <v>284</v>
      </c>
      <c r="C163" s="4" t="s">
        <v>320</v>
      </c>
      <c r="D163" s="1">
        <v>26999</v>
      </c>
      <c r="E163" t="s">
        <v>370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A673-7A2A-4BC8-AC85-76ABE11EE038}">
  <dimension ref="A1:C163"/>
  <sheetViews>
    <sheetView workbookViewId="0">
      <selection sqref="A1:C163"/>
    </sheetView>
  </sheetViews>
  <sheetFormatPr defaultRowHeight="14.5" x14ac:dyDescent="0.35"/>
  <cols>
    <col min="1" max="1" width="48.7265625" customWidth="1"/>
    <col min="2" max="2" width="26.7265625" customWidth="1"/>
    <col min="3" max="3" width="7.453125" bestFit="1" customWidth="1"/>
  </cols>
  <sheetData>
    <row r="1" spans="1:3" x14ac:dyDescent="0.35">
      <c r="A1" t="s">
        <v>353</v>
      </c>
      <c r="B1" t="s">
        <v>352</v>
      </c>
      <c r="C1" t="s">
        <v>354</v>
      </c>
    </row>
    <row r="2" spans="1:3" x14ac:dyDescent="0.35">
      <c r="A2" t="s">
        <v>0</v>
      </c>
      <c r="B2" t="s">
        <v>1</v>
      </c>
      <c r="C2" t="s">
        <v>285</v>
      </c>
    </row>
    <row r="3" spans="1:3" x14ac:dyDescent="0.35">
      <c r="A3" t="s">
        <v>2</v>
      </c>
      <c r="B3" t="s">
        <v>3</v>
      </c>
      <c r="C3" t="s">
        <v>286</v>
      </c>
    </row>
    <row r="4" spans="1:3" x14ac:dyDescent="0.35">
      <c r="A4" t="s">
        <v>4</v>
      </c>
      <c r="B4" t="s">
        <v>5</v>
      </c>
      <c r="C4" t="s">
        <v>287</v>
      </c>
    </row>
    <row r="5" spans="1:3" x14ac:dyDescent="0.35">
      <c r="A5" t="s">
        <v>6</v>
      </c>
      <c r="B5" t="s">
        <v>7</v>
      </c>
      <c r="C5" t="s">
        <v>288</v>
      </c>
    </row>
    <row r="6" spans="1:3" x14ac:dyDescent="0.35">
      <c r="A6" t="s">
        <v>8</v>
      </c>
      <c r="B6" t="s">
        <v>9</v>
      </c>
      <c r="C6" t="s">
        <v>289</v>
      </c>
    </row>
    <row r="7" spans="1:3" x14ac:dyDescent="0.35">
      <c r="A7" t="s">
        <v>10</v>
      </c>
      <c r="B7" t="s">
        <v>11</v>
      </c>
      <c r="C7" t="s">
        <v>290</v>
      </c>
    </row>
    <row r="8" spans="1:3" x14ac:dyDescent="0.35">
      <c r="A8" t="s">
        <v>12</v>
      </c>
      <c r="B8" t="s">
        <v>13</v>
      </c>
      <c r="C8" t="s">
        <v>291</v>
      </c>
    </row>
    <row r="9" spans="1:3" x14ac:dyDescent="0.35">
      <c r="A9" t="s">
        <v>14</v>
      </c>
      <c r="B9" t="s">
        <v>15</v>
      </c>
      <c r="C9" t="s">
        <v>292</v>
      </c>
    </row>
    <row r="10" spans="1:3" x14ac:dyDescent="0.35">
      <c r="A10" t="s">
        <v>16</v>
      </c>
      <c r="B10" t="s">
        <v>17</v>
      </c>
      <c r="C10" t="s">
        <v>288</v>
      </c>
    </row>
    <row r="11" spans="1:3" x14ac:dyDescent="0.35">
      <c r="A11" t="s">
        <v>18</v>
      </c>
      <c r="B11" t="s">
        <v>19</v>
      </c>
      <c r="C11" t="s">
        <v>293</v>
      </c>
    </row>
    <row r="12" spans="1:3" x14ac:dyDescent="0.35">
      <c r="A12" t="s">
        <v>20</v>
      </c>
      <c r="B12" t="s">
        <v>21</v>
      </c>
      <c r="C12" t="s">
        <v>293</v>
      </c>
    </row>
    <row r="13" spans="1:3" x14ac:dyDescent="0.35">
      <c r="A13" t="s">
        <v>22</v>
      </c>
      <c r="B13" t="s">
        <v>23</v>
      </c>
      <c r="C13" t="s">
        <v>287</v>
      </c>
    </row>
    <row r="14" spans="1:3" x14ac:dyDescent="0.35">
      <c r="A14" t="s">
        <v>24</v>
      </c>
      <c r="B14" t="s">
        <v>25</v>
      </c>
      <c r="C14" t="s">
        <v>294</v>
      </c>
    </row>
    <row r="15" spans="1:3" x14ac:dyDescent="0.35">
      <c r="A15" t="s">
        <v>26</v>
      </c>
      <c r="B15" t="s">
        <v>27</v>
      </c>
      <c r="C15" t="s">
        <v>295</v>
      </c>
    </row>
    <row r="16" spans="1:3" x14ac:dyDescent="0.35">
      <c r="A16" t="s">
        <v>28</v>
      </c>
      <c r="B16" t="s">
        <v>29</v>
      </c>
      <c r="C16" t="s">
        <v>293</v>
      </c>
    </row>
    <row r="17" spans="1:3" x14ac:dyDescent="0.35">
      <c r="A17" t="s">
        <v>30</v>
      </c>
      <c r="B17" t="s">
        <v>31</v>
      </c>
      <c r="C17" t="s">
        <v>296</v>
      </c>
    </row>
    <row r="18" spans="1:3" x14ac:dyDescent="0.35">
      <c r="A18" t="s">
        <v>32</v>
      </c>
      <c r="B18" t="s">
        <v>33</v>
      </c>
      <c r="C18" t="s">
        <v>293</v>
      </c>
    </row>
    <row r="19" spans="1:3" x14ac:dyDescent="0.35">
      <c r="A19" t="s">
        <v>34</v>
      </c>
      <c r="B19" t="s">
        <v>35</v>
      </c>
      <c r="C19" t="s">
        <v>297</v>
      </c>
    </row>
    <row r="20" spans="1:3" x14ac:dyDescent="0.35">
      <c r="A20" t="s">
        <v>36</v>
      </c>
      <c r="B20" t="s">
        <v>37</v>
      </c>
      <c r="C20" t="s">
        <v>298</v>
      </c>
    </row>
    <row r="21" spans="1:3" x14ac:dyDescent="0.35">
      <c r="A21" t="s">
        <v>38</v>
      </c>
      <c r="B21" t="s">
        <v>39</v>
      </c>
      <c r="C21" t="s">
        <v>299</v>
      </c>
    </row>
    <row r="22" spans="1:3" x14ac:dyDescent="0.35">
      <c r="A22" t="s">
        <v>40</v>
      </c>
      <c r="B22" t="s">
        <v>41</v>
      </c>
      <c r="C22" t="s">
        <v>300</v>
      </c>
    </row>
    <row r="23" spans="1:3" x14ac:dyDescent="0.35">
      <c r="A23" t="s">
        <v>42</v>
      </c>
      <c r="B23" t="s">
        <v>43</v>
      </c>
      <c r="C23" t="s">
        <v>289</v>
      </c>
    </row>
    <row r="24" spans="1:3" x14ac:dyDescent="0.35">
      <c r="A24" t="s">
        <v>44</v>
      </c>
      <c r="B24" t="s">
        <v>45</v>
      </c>
      <c r="C24" t="s">
        <v>287</v>
      </c>
    </row>
    <row r="25" spans="1:3" x14ac:dyDescent="0.35">
      <c r="A25" t="s">
        <v>46</v>
      </c>
      <c r="B25" t="s">
        <v>47</v>
      </c>
      <c r="C25" t="s">
        <v>301</v>
      </c>
    </row>
    <row r="26" spans="1:3" x14ac:dyDescent="0.35">
      <c r="A26" t="s">
        <v>48</v>
      </c>
      <c r="B26" t="s">
        <v>49</v>
      </c>
      <c r="C26" t="s">
        <v>302</v>
      </c>
    </row>
    <row r="27" spans="1:3" x14ac:dyDescent="0.35">
      <c r="A27" t="s">
        <v>50</v>
      </c>
      <c r="B27" t="s">
        <v>51</v>
      </c>
      <c r="C27" t="s">
        <v>303</v>
      </c>
    </row>
    <row r="28" spans="1:3" x14ac:dyDescent="0.35">
      <c r="A28" t="s">
        <v>52</v>
      </c>
      <c r="B28" t="s">
        <v>53</v>
      </c>
      <c r="C28" t="s">
        <v>304</v>
      </c>
    </row>
    <row r="29" spans="1:3" x14ac:dyDescent="0.35">
      <c r="A29" t="s">
        <v>54</v>
      </c>
      <c r="B29" t="s">
        <v>55</v>
      </c>
      <c r="C29" t="s">
        <v>305</v>
      </c>
    </row>
    <row r="30" spans="1:3" x14ac:dyDescent="0.35">
      <c r="A30" t="s">
        <v>56</v>
      </c>
      <c r="B30" t="s">
        <v>57</v>
      </c>
      <c r="C30" t="s">
        <v>300</v>
      </c>
    </row>
    <row r="31" spans="1:3" x14ac:dyDescent="0.35">
      <c r="A31" t="s">
        <v>48</v>
      </c>
      <c r="B31" t="s">
        <v>58</v>
      </c>
      <c r="C31" t="s">
        <v>306</v>
      </c>
    </row>
    <row r="32" spans="1:3" x14ac:dyDescent="0.35">
      <c r="A32" t="s">
        <v>59</v>
      </c>
      <c r="B32" t="s">
        <v>60</v>
      </c>
      <c r="C32" t="s">
        <v>307</v>
      </c>
    </row>
    <row r="33" spans="1:3" x14ac:dyDescent="0.35">
      <c r="A33" t="s">
        <v>61</v>
      </c>
      <c r="B33" t="s">
        <v>62</v>
      </c>
      <c r="C33" t="s">
        <v>308</v>
      </c>
    </row>
    <row r="34" spans="1:3" x14ac:dyDescent="0.35">
      <c r="A34" t="s">
        <v>63</v>
      </c>
      <c r="B34" t="s">
        <v>64</v>
      </c>
      <c r="C34" t="s">
        <v>304</v>
      </c>
    </row>
    <row r="35" spans="1:3" x14ac:dyDescent="0.35">
      <c r="A35" t="s">
        <v>65</v>
      </c>
      <c r="B35" t="s">
        <v>66</v>
      </c>
      <c r="C35" t="s">
        <v>287</v>
      </c>
    </row>
    <row r="36" spans="1:3" x14ac:dyDescent="0.35">
      <c r="A36" t="s">
        <v>67</v>
      </c>
      <c r="B36" t="s">
        <v>68</v>
      </c>
      <c r="C36" t="s">
        <v>288</v>
      </c>
    </row>
    <row r="37" spans="1:3" x14ac:dyDescent="0.35">
      <c r="A37" t="s">
        <v>69</v>
      </c>
      <c r="B37" t="s">
        <v>70</v>
      </c>
      <c r="C37" t="s">
        <v>295</v>
      </c>
    </row>
    <row r="38" spans="1:3" x14ac:dyDescent="0.35">
      <c r="A38" t="s">
        <v>71</v>
      </c>
      <c r="B38" t="s">
        <v>72</v>
      </c>
      <c r="C38" t="s">
        <v>309</v>
      </c>
    </row>
    <row r="39" spans="1:3" x14ac:dyDescent="0.35">
      <c r="A39" t="s">
        <v>52</v>
      </c>
      <c r="B39" t="s">
        <v>73</v>
      </c>
      <c r="C39" t="s">
        <v>310</v>
      </c>
    </row>
    <row r="40" spans="1:3" x14ac:dyDescent="0.35">
      <c r="A40" t="s">
        <v>74</v>
      </c>
      <c r="B40" t="s">
        <v>75</v>
      </c>
      <c r="C40" t="s">
        <v>311</v>
      </c>
    </row>
    <row r="41" spans="1:3" x14ac:dyDescent="0.35">
      <c r="A41" t="s">
        <v>76</v>
      </c>
      <c r="B41" t="s">
        <v>77</v>
      </c>
      <c r="C41" t="s">
        <v>312</v>
      </c>
    </row>
    <row r="42" spans="1:3" x14ac:dyDescent="0.35">
      <c r="A42" t="s">
        <v>78</v>
      </c>
      <c r="B42" t="s">
        <v>79</v>
      </c>
      <c r="C42" t="s">
        <v>286</v>
      </c>
    </row>
    <row r="43" spans="1:3" x14ac:dyDescent="0.35">
      <c r="A43" t="s">
        <v>80</v>
      </c>
      <c r="B43" t="s">
        <v>81</v>
      </c>
      <c r="C43" t="s">
        <v>307</v>
      </c>
    </row>
    <row r="44" spans="1:3" x14ac:dyDescent="0.35">
      <c r="A44" t="s">
        <v>82</v>
      </c>
      <c r="B44" t="s">
        <v>83</v>
      </c>
      <c r="C44" t="s">
        <v>306</v>
      </c>
    </row>
    <row r="45" spans="1:3" x14ac:dyDescent="0.35">
      <c r="A45" t="s">
        <v>84</v>
      </c>
      <c r="B45" t="s">
        <v>85</v>
      </c>
      <c r="C45" t="s">
        <v>289</v>
      </c>
    </row>
    <row r="46" spans="1:3" x14ac:dyDescent="0.35">
      <c r="A46" t="s">
        <v>86</v>
      </c>
      <c r="B46" t="s">
        <v>87</v>
      </c>
      <c r="C46" t="s">
        <v>313</v>
      </c>
    </row>
    <row r="47" spans="1:3" x14ac:dyDescent="0.35">
      <c r="A47" t="s">
        <v>0</v>
      </c>
      <c r="B47" t="s">
        <v>88</v>
      </c>
      <c r="C47" t="s">
        <v>288</v>
      </c>
    </row>
    <row r="48" spans="1:3" x14ac:dyDescent="0.35">
      <c r="A48" t="s">
        <v>2</v>
      </c>
      <c r="B48" t="s">
        <v>89</v>
      </c>
      <c r="C48" t="s">
        <v>286</v>
      </c>
    </row>
    <row r="49" spans="1:3" x14ac:dyDescent="0.35">
      <c r="A49" t="s">
        <v>4</v>
      </c>
      <c r="B49" t="s">
        <v>90</v>
      </c>
      <c r="C49" t="s">
        <v>287</v>
      </c>
    </row>
    <row r="50" spans="1:3" x14ac:dyDescent="0.35">
      <c r="A50" t="s">
        <v>6</v>
      </c>
      <c r="B50" t="s">
        <v>91</v>
      </c>
      <c r="C50" t="s">
        <v>288</v>
      </c>
    </row>
    <row r="51" spans="1:3" x14ac:dyDescent="0.35">
      <c r="A51" t="s">
        <v>8</v>
      </c>
      <c r="B51" t="s">
        <v>92</v>
      </c>
      <c r="C51" t="s">
        <v>289</v>
      </c>
    </row>
    <row r="52" spans="1:3" x14ac:dyDescent="0.35">
      <c r="A52" t="s">
        <v>10</v>
      </c>
      <c r="B52" t="s">
        <v>93</v>
      </c>
      <c r="C52" t="s">
        <v>290</v>
      </c>
    </row>
    <row r="53" spans="1:3" x14ac:dyDescent="0.35">
      <c r="A53" t="s">
        <v>12</v>
      </c>
      <c r="B53" t="s">
        <v>94</v>
      </c>
      <c r="C53" t="s">
        <v>291</v>
      </c>
    </row>
    <row r="54" spans="1:3" x14ac:dyDescent="0.35">
      <c r="A54" t="s">
        <v>14</v>
      </c>
      <c r="B54" t="s">
        <v>95</v>
      </c>
      <c r="C54" t="s">
        <v>292</v>
      </c>
    </row>
    <row r="55" spans="1:3" x14ac:dyDescent="0.35">
      <c r="A55" t="s">
        <v>16</v>
      </c>
      <c r="B55" t="s">
        <v>96</v>
      </c>
      <c r="C55" t="s">
        <v>288</v>
      </c>
    </row>
    <row r="56" spans="1:3" x14ac:dyDescent="0.35">
      <c r="A56" t="s">
        <v>18</v>
      </c>
      <c r="B56" t="s">
        <v>97</v>
      </c>
      <c r="C56" t="s">
        <v>293</v>
      </c>
    </row>
    <row r="57" spans="1:3" x14ac:dyDescent="0.35">
      <c r="A57" t="s">
        <v>20</v>
      </c>
      <c r="B57" t="s">
        <v>98</v>
      </c>
      <c r="C57" t="s">
        <v>293</v>
      </c>
    </row>
    <row r="58" spans="1:3" x14ac:dyDescent="0.35">
      <c r="A58" t="s">
        <v>22</v>
      </c>
      <c r="B58" t="s">
        <v>99</v>
      </c>
      <c r="C58" t="s">
        <v>287</v>
      </c>
    </row>
    <row r="59" spans="1:3" x14ac:dyDescent="0.35">
      <c r="A59" t="s">
        <v>24</v>
      </c>
      <c r="B59" t="s">
        <v>100</v>
      </c>
      <c r="C59" t="s">
        <v>294</v>
      </c>
    </row>
    <row r="60" spans="1:3" x14ac:dyDescent="0.35">
      <c r="A60" t="s">
        <v>26</v>
      </c>
      <c r="B60" t="s">
        <v>101</v>
      </c>
      <c r="C60" t="s">
        <v>295</v>
      </c>
    </row>
    <row r="61" spans="1:3" x14ac:dyDescent="0.35">
      <c r="A61" t="s">
        <v>28</v>
      </c>
      <c r="B61" t="s">
        <v>102</v>
      </c>
      <c r="C61" t="s">
        <v>293</v>
      </c>
    </row>
    <row r="62" spans="1:3" x14ac:dyDescent="0.35">
      <c r="A62" t="s">
        <v>30</v>
      </c>
      <c r="B62" t="s">
        <v>103</v>
      </c>
      <c r="C62" t="s">
        <v>296</v>
      </c>
    </row>
    <row r="63" spans="1:3" x14ac:dyDescent="0.35">
      <c r="A63" t="s">
        <v>32</v>
      </c>
      <c r="B63" t="s">
        <v>104</v>
      </c>
      <c r="C63" t="s">
        <v>293</v>
      </c>
    </row>
    <row r="64" spans="1:3" x14ac:dyDescent="0.35">
      <c r="A64" t="s">
        <v>34</v>
      </c>
      <c r="B64" t="s">
        <v>105</v>
      </c>
      <c r="C64" t="s">
        <v>297</v>
      </c>
    </row>
    <row r="65" spans="1:3" x14ac:dyDescent="0.35">
      <c r="A65" t="s">
        <v>36</v>
      </c>
      <c r="B65" t="s">
        <v>106</v>
      </c>
      <c r="C65" t="s">
        <v>298</v>
      </c>
    </row>
    <row r="66" spans="1:3" x14ac:dyDescent="0.35">
      <c r="A66" t="s">
        <v>38</v>
      </c>
      <c r="B66" t="s">
        <v>107</v>
      </c>
      <c r="C66" t="s">
        <v>299</v>
      </c>
    </row>
    <row r="67" spans="1:3" x14ac:dyDescent="0.35">
      <c r="A67" t="s">
        <v>40</v>
      </c>
      <c r="B67" t="s">
        <v>108</v>
      </c>
      <c r="C67" t="s">
        <v>300</v>
      </c>
    </row>
    <row r="68" spans="1:3" x14ac:dyDescent="0.35">
      <c r="A68" t="s">
        <v>109</v>
      </c>
      <c r="B68" t="s">
        <v>110</v>
      </c>
      <c r="C68" t="s">
        <v>314</v>
      </c>
    </row>
    <row r="69" spans="1:3" x14ac:dyDescent="0.35">
      <c r="A69" t="s">
        <v>111</v>
      </c>
      <c r="B69" t="s">
        <v>112</v>
      </c>
      <c r="C69" t="s">
        <v>315</v>
      </c>
    </row>
    <row r="70" spans="1:3" x14ac:dyDescent="0.35">
      <c r="A70" t="s">
        <v>113</v>
      </c>
      <c r="B70" t="s">
        <v>114</v>
      </c>
      <c r="C70" t="s">
        <v>316</v>
      </c>
    </row>
    <row r="71" spans="1:3" x14ac:dyDescent="0.35">
      <c r="A71" t="s">
        <v>115</v>
      </c>
      <c r="B71" t="s">
        <v>116</v>
      </c>
      <c r="C71" t="s">
        <v>317</v>
      </c>
    </row>
    <row r="72" spans="1:3" x14ac:dyDescent="0.35">
      <c r="A72" t="s">
        <v>117</v>
      </c>
      <c r="B72" t="s">
        <v>118</v>
      </c>
      <c r="C72" t="s">
        <v>308</v>
      </c>
    </row>
    <row r="73" spans="1:3" x14ac:dyDescent="0.35">
      <c r="A73" t="s">
        <v>119</v>
      </c>
      <c r="B73" t="s">
        <v>120</v>
      </c>
      <c r="C73" t="s">
        <v>294</v>
      </c>
    </row>
    <row r="74" spans="1:3" x14ac:dyDescent="0.35">
      <c r="A74" t="s">
        <v>121</v>
      </c>
      <c r="B74" t="s">
        <v>122</v>
      </c>
      <c r="C74" t="s">
        <v>318</v>
      </c>
    </row>
    <row r="75" spans="1:3" x14ac:dyDescent="0.35">
      <c r="A75" t="s">
        <v>123</v>
      </c>
      <c r="B75" t="s">
        <v>124</v>
      </c>
      <c r="C75" t="s">
        <v>307</v>
      </c>
    </row>
    <row r="76" spans="1:3" x14ac:dyDescent="0.35">
      <c r="A76" t="s">
        <v>40</v>
      </c>
      <c r="B76" t="s">
        <v>125</v>
      </c>
      <c r="C76" t="s">
        <v>303</v>
      </c>
    </row>
    <row r="77" spans="1:3" x14ac:dyDescent="0.35">
      <c r="A77" t="s">
        <v>126</v>
      </c>
      <c r="B77" t="s">
        <v>127</v>
      </c>
      <c r="C77" t="s">
        <v>319</v>
      </c>
    </row>
    <row r="78" spans="1:3" x14ac:dyDescent="0.35">
      <c r="A78" t="s">
        <v>128</v>
      </c>
      <c r="B78" t="s">
        <v>129</v>
      </c>
      <c r="C78" t="s">
        <v>320</v>
      </c>
    </row>
    <row r="79" spans="1:3" x14ac:dyDescent="0.35">
      <c r="A79" t="s">
        <v>130</v>
      </c>
      <c r="B79" t="s">
        <v>131</v>
      </c>
      <c r="C79" t="s">
        <v>321</v>
      </c>
    </row>
    <row r="80" spans="1:3" x14ac:dyDescent="0.35">
      <c r="A80" t="s">
        <v>132</v>
      </c>
      <c r="B80" t="s">
        <v>133</v>
      </c>
      <c r="C80" t="s">
        <v>322</v>
      </c>
    </row>
    <row r="81" spans="1:3" x14ac:dyDescent="0.35">
      <c r="A81" t="s">
        <v>134</v>
      </c>
      <c r="B81" t="s">
        <v>135</v>
      </c>
      <c r="C81" t="s">
        <v>323</v>
      </c>
    </row>
    <row r="82" spans="1:3" x14ac:dyDescent="0.35">
      <c r="A82" t="s">
        <v>136</v>
      </c>
      <c r="B82" t="s">
        <v>137</v>
      </c>
      <c r="C82" t="s">
        <v>294</v>
      </c>
    </row>
    <row r="83" spans="1:3" x14ac:dyDescent="0.35">
      <c r="A83" t="s">
        <v>138</v>
      </c>
      <c r="B83" t="s">
        <v>139</v>
      </c>
      <c r="C83" t="s">
        <v>324</v>
      </c>
    </row>
    <row r="84" spans="1:3" x14ac:dyDescent="0.35">
      <c r="A84" t="s">
        <v>140</v>
      </c>
      <c r="B84" t="s">
        <v>141</v>
      </c>
      <c r="C84" t="s">
        <v>325</v>
      </c>
    </row>
    <row r="85" spans="1:3" x14ac:dyDescent="0.35">
      <c r="A85" t="s">
        <v>142</v>
      </c>
      <c r="B85" t="s">
        <v>143</v>
      </c>
      <c r="C85" t="s">
        <v>301</v>
      </c>
    </row>
    <row r="86" spans="1:3" x14ac:dyDescent="0.35">
      <c r="A86" t="s">
        <v>144</v>
      </c>
      <c r="B86" t="s">
        <v>145</v>
      </c>
      <c r="C86" t="s">
        <v>326</v>
      </c>
    </row>
    <row r="87" spans="1:3" x14ac:dyDescent="0.35">
      <c r="A87" t="s">
        <v>146</v>
      </c>
      <c r="B87" t="s">
        <v>147</v>
      </c>
      <c r="C87" t="s">
        <v>327</v>
      </c>
    </row>
    <row r="88" spans="1:3" x14ac:dyDescent="0.35">
      <c r="A88" t="s">
        <v>148</v>
      </c>
      <c r="B88" t="s">
        <v>149</v>
      </c>
      <c r="C88" t="s">
        <v>288</v>
      </c>
    </row>
    <row r="89" spans="1:3" x14ac:dyDescent="0.35">
      <c r="A89" t="s">
        <v>132</v>
      </c>
      <c r="B89" t="s">
        <v>150</v>
      </c>
      <c r="C89" t="s">
        <v>322</v>
      </c>
    </row>
    <row r="90" spans="1:3" x14ac:dyDescent="0.35">
      <c r="A90" t="s">
        <v>151</v>
      </c>
      <c r="B90" t="s">
        <v>152</v>
      </c>
      <c r="C90" t="s">
        <v>290</v>
      </c>
    </row>
    <row r="91" spans="1:3" x14ac:dyDescent="0.35">
      <c r="A91" t="s">
        <v>153</v>
      </c>
      <c r="B91" t="s">
        <v>154</v>
      </c>
      <c r="C91" t="s">
        <v>328</v>
      </c>
    </row>
    <row r="92" spans="1:3" x14ac:dyDescent="0.35">
      <c r="A92" t="s">
        <v>155</v>
      </c>
      <c r="B92" t="s">
        <v>156</v>
      </c>
      <c r="C92" t="s">
        <v>290</v>
      </c>
    </row>
    <row r="93" spans="1:3" x14ac:dyDescent="0.35">
      <c r="A93" t="s">
        <v>63</v>
      </c>
      <c r="B93" t="s">
        <v>157</v>
      </c>
      <c r="C93" t="s">
        <v>310</v>
      </c>
    </row>
    <row r="94" spans="1:3" x14ac:dyDescent="0.35">
      <c r="A94" t="s">
        <v>158</v>
      </c>
      <c r="B94" t="s">
        <v>159</v>
      </c>
      <c r="C94" t="s">
        <v>314</v>
      </c>
    </row>
    <row r="95" spans="1:3" x14ac:dyDescent="0.35">
      <c r="A95" t="s">
        <v>160</v>
      </c>
      <c r="B95" t="s">
        <v>161</v>
      </c>
      <c r="C95" t="s">
        <v>294</v>
      </c>
    </row>
    <row r="96" spans="1:3" x14ac:dyDescent="0.35">
      <c r="A96" t="s">
        <v>162</v>
      </c>
      <c r="B96" t="s">
        <v>163</v>
      </c>
      <c r="C96" t="s">
        <v>307</v>
      </c>
    </row>
    <row r="97" spans="1:3" x14ac:dyDescent="0.35">
      <c r="A97" t="s">
        <v>164</v>
      </c>
      <c r="B97" t="s">
        <v>165</v>
      </c>
      <c r="C97" t="s">
        <v>329</v>
      </c>
    </row>
    <row r="98" spans="1:3" x14ac:dyDescent="0.35">
      <c r="A98" t="s">
        <v>166</v>
      </c>
      <c r="B98" t="s">
        <v>167</v>
      </c>
      <c r="C98" t="s">
        <v>317</v>
      </c>
    </row>
    <row r="99" spans="1:3" x14ac:dyDescent="0.35">
      <c r="A99" t="s">
        <v>140</v>
      </c>
      <c r="B99" t="s">
        <v>168</v>
      </c>
      <c r="C99" t="s">
        <v>325</v>
      </c>
    </row>
    <row r="100" spans="1:3" x14ac:dyDescent="0.35">
      <c r="A100" t="s">
        <v>169</v>
      </c>
      <c r="B100" t="s">
        <v>170</v>
      </c>
      <c r="C100" t="s">
        <v>294</v>
      </c>
    </row>
    <row r="101" spans="1:3" x14ac:dyDescent="0.35">
      <c r="A101" t="s">
        <v>171</v>
      </c>
      <c r="B101" t="s">
        <v>172</v>
      </c>
      <c r="C101" t="s">
        <v>330</v>
      </c>
    </row>
    <row r="102" spans="1:3" x14ac:dyDescent="0.35">
      <c r="A102" t="s">
        <v>173</v>
      </c>
      <c r="B102" t="s">
        <v>174</v>
      </c>
      <c r="C102" t="s">
        <v>286</v>
      </c>
    </row>
    <row r="103" spans="1:3" x14ac:dyDescent="0.35">
      <c r="A103" t="s">
        <v>175</v>
      </c>
      <c r="B103" t="s">
        <v>176</v>
      </c>
      <c r="C103" t="s">
        <v>331</v>
      </c>
    </row>
    <row r="104" spans="1:3" x14ac:dyDescent="0.35">
      <c r="A104" t="s">
        <v>177</v>
      </c>
      <c r="B104" t="s">
        <v>178</v>
      </c>
      <c r="C104" t="s">
        <v>290</v>
      </c>
    </row>
    <row r="105" spans="1:3" x14ac:dyDescent="0.35">
      <c r="A105" t="s">
        <v>179</v>
      </c>
      <c r="B105" t="s">
        <v>180</v>
      </c>
      <c r="C105" t="s">
        <v>302</v>
      </c>
    </row>
    <row r="106" spans="1:3" x14ac:dyDescent="0.35">
      <c r="A106" t="s">
        <v>181</v>
      </c>
      <c r="B106" t="s">
        <v>182</v>
      </c>
      <c r="C106" t="s">
        <v>302</v>
      </c>
    </row>
    <row r="107" spans="1:3" x14ac:dyDescent="0.35">
      <c r="A107" t="s">
        <v>183</v>
      </c>
      <c r="B107" t="s">
        <v>184</v>
      </c>
      <c r="C107" t="s">
        <v>332</v>
      </c>
    </row>
    <row r="108" spans="1:3" x14ac:dyDescent="0.35">
      <c r="A108" t="s">
        <v>185</v>
      </c>
      <c r="B108" t="s">
        <v>186</v>
      </c>
      <c r="C108" t="s">
        <v>310</v>
      </c>
    </row>
    <row r="109" spans="1:3" x14ac:dyDescent="0.35">
      <c r="A109" t="s">
        <v>50</v>
      </c>
      <c r="B109" t="s">
        <v>187</v>
      </c>
      <c r="C109" t="s">
        <v>300</v>
      </c>
    </row>
    <row r="110" spans="1:3" x14ac:dyDescent="0.35">
      <c r="A110" t="s">
        <v>188</v>
      </c>
      <c r="B110" t="s">
        <v>189</v>
      </c>
      <c r="C110" t="s">
        <v>294</v>
      </c>
    </row>
    <row r="111" spans="1:3" x14ac:dyDescent="0.35">
      <c r="A111" t="s">
        <v>190</v>
      </c>
      <c r="B111" t="s">
        <v>191</v>
      </c>
      <c r="C111" t="s">
        <v>333</v>
      </c>
    </row>
    <row r="112" spans="1:3" x14ac:dyDescent="0.35">
      <c r="A112" t="s">
        <v>192</v>
      </c>
      <c r="B112" t="s">
        <v>193</v>
      </c>
      <c r="C112" t="s">
        <v>308</v>
      </c>
    </row>
    <row r="113" spans="1:3" x14ac:dyDescent="0.35">
      <c r="A113" t="s">
        <v>74</v>
      </c>
      <c r="B113" t="s">
        <v>194</v>
      </c>
      <c r="C113" t="s">
        <v>311</v>
      </c>
    </row>
    <row r="114" spans="1:3" x14ac:dyDescent="0.35">
      <c r="A114" t="s">
        <v>195</v>
      </c>
      <c r="B114" t="s">
        <v>196</v>
      </c>
      <c r="C114" t="s">
        <v>330</v>
      </c>
    </row>
    <row r="115" spans="1:3" x14ac:dyDescent="0.35">
      <c r="A115" t="s">
        <v>197</v>
      </c>
      <c r="B115" t="s">
        <v>198</v>
      </c>
      <c r="C115" t="s">
        <v>334</v>
      </c>
    </row>
    <row r="116" spans="1:3" x14ac:dyDescent="0.35">
      <c r="A116" t="s">
        <v>199</v>
      </c>
      <c r="B116" t="s">
        <v>200</v>
      </c>
      <c r="C116" t="s">
        <v>308</v>
      </c>
    </row>
    <row r="117" spans="1:3" x14ac:dyDescent="0.35">
      <c r="A117" t="s">
        <v>201</v>
      </c>
      <c r="B117" t="s">
        <v>202</v>
      </c>
      <c r="C117" t="s">
        <v>303</v>
      </c>
    </row>
    <row r="118" spans="1:3" x14ac:dyDescent="0.35">
      <c r="A118" t="s">
        <v>203</v>
      </c>
      <c r="B118" t="s">
        <v>204</v>
      </c>
      <c r="C118" t="s">
        <v>335</v>
      </c>
    </row>
    <row r="119" spans="1:3" x14ac:dyDescent="0.35">
      <c r="A119" t="s">
        <v>205</v>
      </c>
      <c r="B119" t="s">
        <v>206</v>
      </c>
      <c r="C119" t="s">
        <v>291</v>
      </c>
    </row>
    <row r="120" spans="1:3" x14ac:dyDescent="0.35">
      <c r="A120" t="s">
        <v>207</v>
      </c>
      <c r="B120" t="s">
        <v>208</v>
      </c>
      <c r="C120" t="s">
        <v>336</v>
      </c>
    </row>
    <row r="121" spans="1:3" x14ac:dyDescent="0.35">
      <c r="A121" t="s">
        <v>209</v>
      </c>
      <c r="B121" t="s">
        <v>210</v>
      </c>
      <c r="C121" t="s">
        <v>337</v>
      </c>
    </row>
    <row r="122" spans="1:3" x14ac:dyDescent="0.35">
      <c r="A122" t="s">
        <v>121</v>
      </c>
      <c r="B122" t="s">
        <v>211</v>
      </c>
      <c r="C122" t="s">
        <v>318</v>
      </c>
    </row>
    <row r="123" spans="1:3" x14ac:dyDescent="0.35">
      <c r="A123" t="s">
        <v>212</v>
      </c>
      <c r="B123" t="s">
        <v>213</v>
      </c>
      <c r="C123" t="s">
        <v>294</v>
      </c>
    </row>
    <row r="124" spans="1:3" x14ac:dyDescent="0.35">
      <c r="A124" t="s">
        <v>214</v>
      </c>
      <c r="B124" t="s">
        <v>215</v>
      </c>
      <c r="C124" t="s">
        <v>338</v>
      </c>
    </row>
    <row r="125" spans="1:3" x14ac:dyDescent="0.35">
      <c r="A125" t="s">
        <v>216</v>
      </c>
      <c r="B125" t="s">
        <v>217</v>
      </c>
      <c r="C125" t="s">
        <v>294</v>
      </c>
    </row>
    <row r="126" spans="1:3" x14ac:dyDescent="0.35">
      <c r="A126" t="s">
        <v>218</v>
      </c>
      <c r="B126" t="s">
        <v>219</v>
      </c>
      <c r="C126" t="s">
        <v>286</v>
      </c>
    </row>
    <row r="127" spans="1:3" x14ac:dyDescent="0.35">
      <c r="A127" t="s">
        <v>220</v>
      </c>
      <c r="B127" t="s">
        <v>221</v>
      </c>
      <c r="C127" t="s">
        <v>339</v>
      </c>
    </row>
    <row r="128" spans="1:3" x14ac:dyDescent="0.35">
      <c r="A128" t="s">
        <v>222</v>
      </c>
      <c r="B128" t="s">
        <v>223</v>
      </c>
      <c r="C128" t="s">
        <v>340</v>
      </c>
    </row>
    <row r="129" spans="1:3" x14ac:dyDescent="0.35">
      <c r="A129" t="s">
        <v>224</v>
      </c>
      <c r="B129" t="s">
        <v>225</v>
      </c>
      <c r="C129" t="s">
        <v>341</v>
      </c>
    </row>
    <row r="130" spans="1:3" x14ac:dyDescent="0.35">
      <c r="A130" t="s">
        <v>226</v>
      </c>
      <c r="B130" t="s">
        <v>227</v>
      </c>
      <c r="C130" t="s">
        <v>342</v>
      </c>
    </row>
    <row r="131" spans="1:3" x14ac:dyDescent="0.35">
      <c r="A131" t="s">
        <v>228</v>
      </c>
      <c r="B131" t="s">
        <v>229</v>
      </c>
      <c r="C131" t="s">
        <v>297</v>
      </c>
    </row>
    <row r="132" spans="1:3" x14ac:dyDescent="0.35">
      <c r="A132" t="s">
        <v>230</v>
      </c>
      <c r="B132" t="s">
        <v>231</v>
      </c>
      <c r="C132" t="s">
        <v>320</v>
      </c>
    </row>
    <row r="133" spans="1:3" x14ac:dyDescent="0.35">
      <c r="A133" t="s">
        <v>232</v>
      </c>
      <c r="B133" t="s">
        <v>233</v>
      </c>
      <c r="C133" t="s">
        <v>343</v>
      </c>
    </row>
    <row r="134" spans="1:3" x14ac:dyDescent="0.35">
      <c r="A134" t="s">
        <v>234</v>
      </c>
      <c r="B134" t="s">
        <v>235</v>
      </c>
      <c r="C134" t="s">
        <v>344</v>
      </c>
    </row>
    <row r="135" spans="1:3" x14ac:dyDescent="0.35">
      <c r="A135" t="s">
        <v>236</v>
      </c>
      <c r="B135" t="s">
        <v>237</v>
      </c>
      <c r="C135" t="s">
        <v>344</v>
      </c>
    </row>
    <row r="136" spans="1:3" x14ac:dyDescent="0.35">
      <c r="A136" t="s">
        <v>238</v>
      </c>
      <c r="B136" t="s">
        <v>239</v>
      </c>
      <c r="C136" t="s">
        <v>294</v>
      </c>
    </row>
    <row r="137" spans="1:3" x14ac:dyDescent="0.35">
      <c r="A137" t="s">
        <v>240</v>
      </c>
      <c r="B137" t="s">
        <v>241</v>
      </c>
      <c r="C137" t="s">
        <v>290</v>
      </c>
    </row>
    <row r="138" spans="1:3" x14ac:dyDescent="0.35">
      <c r="A138" t="s">
        <v>242</v>
      </c>
      <c r="B138" t="s">
        <v>243</v>
      </c>
      <c r="C138" t="s">
        <v>287</v>
      </c>
    </row>
    <row r="139" spans="1:3" x14ac:dyDescent="0.35">
      <c r="A139" t="s">
        <v>244</v>
      </c>
      <c r="B139" t="s">
        <v>245</v>
      </c>
      <c r="C139" t="s">
        <v>314</v>
      </c>
    </row>
    <row r="140" spans="1:3" x14ac:dyDescent="0.35">
      <c r="A140" t="s">
        <v>69</v>
      </c>
      <c r="B140" t="s">
        <v>246</v>
      </c>
      <c r="C140" t="s">
        <v>295</v>
      </c>
    </row>
    <row r="141" spans="1:3" x14ac:dyDescent="0.35">
      <c r="A141" t="s">
        <v>247</v>
      </c>
      <c r="B141" t="s">
        <v>248</v>
      </c>
      <c r="C141" t="s">
        <v>345</v>
      </c>
    </row>
    <row r="142" spans="1:3" x14ac:dyDescent="0.35">
      <c r="A142" t="s">
        <v>249</v>
      </c>
      <c r="B142" t="s">
        <v>250</v>
      </c>
      <c r="C142" t="s">
        <v>307</v>
      </c>
    </row>
    <row r="143" spans="1:3" x14ac:dyDescent="0.35">
      <c r="A143" t="s">
        <v>214</v>
      </c>
      <c r="B143" t="s">
        <v>251</v>
      </c>
      <c r="C143" t="s">
        <v>346</v>
      </c>
    </row>
    <row r="144" spans="1:3" x14ac:dyDescent="0.35">
      <c r="A144" t="s">
        <v>84</v>
      </c>
      <c r="B144" t="s">
        <v>252</v>
      </c>
      <c r="C144" t="s">
        <v>289</v>
      </c>
    </row>
    <row r="145" spans="1:3" x14ac:dyDescent="0.35">
      <c r="A145" t="s">
        <v>50</v>
      </c>
      <c r="B145" t="s">
        <v>253</v>
      </c>
      <c r="C145" t="s">
        <v>303</v>
      </c>
    </row>
    <row r="146" spans="1:3" x14ac:dyDescent="0.35">
      <c r="A146" t="s">
        <v>254</v>
      </c>
      <c r="B146" t="s">
        <v>255</v>
      </c>
      <c r="C146" t="s">
        <v>299</v>
      </c>
    </row>
    <row r="147" spans="1:3" x14ac:dyDescent="0.35">
      <c r="A147" t="s">
        <v>256</v>
      </c>
      <c r="B147" t="s">
        <v>257</v>
      </c>
      <c r="C147" t="s">
        <v>347</v>
      </c>
    </row>
    <row r="148" spans="1:3" x14ac:dyDescent="0.35">
      <c r="A148" t="s">
        <v>119</v>
      </c>
      <c r="B148" t="s">
        <v>258</v>
      </c>
      <c r="C148" t="s">
        <v>294</v>
      </c>
    </row>
    <row r="149" spans="1:3" x14ac:dyDescent="0.35">
      <c r="A149" t="s">
        <v>259</v>
      </c>
      <c r="B149" t="s">
        <v>260</v>
      </c>
      <c r="C149" t="s">
        <v>348</v>
      </c>
    </row>
    <row r="150" spans="1:3" x14ac:dyDescent="0.35">
      <c r="A150" t="s">
        <v>261</v>
      </c>
      <c r="B150" t="s">
        <v>262</v>
      </c>
      <c r="C150" t="s">
        <v>303</v>
      </c>
    </row>
    <row r="151" spans="1:3" x14ac:dyDescent="0.35">
      <c r="A151" t="s">
        <v>263</v>
      </c>
      <c r="B151" t="s">
        <v>264</v>
      </c>
      <c r="C151" t="s">
        <v>349</v>
      </c>
    </row>
    <row r="152" spans="1:3" x14ac:dyDescent="0.35">
      <c r="A152" t="s">
        <v>132</v>
      </c>
      <c r="B152" t="s">
        <v>265</v>
      </c>
      <c r="C152" t="s">
        <v>322</v>
      </c>
    </row>
    <row r="153" spans="1:3" x14ac:dyDescent="0.35">
      <c r="A153" t="s">
        <v>228</v>
      </c>
      <c r="B153" t="s">
        <v>266</v>
      </c>
      <c r="C153" t="s">
        <v>300</v>
      </c>
    </row>
    <row r="154" spans="1:3" x14ac:dyDescent="0.35">
      <c r="A154" t="s">
        <v>148</v>
      </c>
      <c r="B154" t="s">
        <v>267</v>
      </c>
      <c r="C154" t="s">
        <v>288</v>
      </c>
    </row>
    <row r="155" spans="1:3" x14ac:dyDescent="0.35">
      <c r="A155" t="s">
        <v>268</v>
      </c>
      <c r="B155" t="s">
        <v>269</v>
      </c>
      <c r="C155" t="s">
        <v>350</v>
      </c>
    </row>
    <row r="156" spans="1:3" x14ac:dyDescent="0.35">
      <c r="A156" t="s">
        <v>270</v>
      </c>
      <c r="B156" t="s">
        <v>271</v>
      </c>
      <c r="C156" t="s">
        <v>351</v>
      </c>
    </row>
    <row r="157" spans="1:3" x14ac:dyDescent="0.35">
      <c r="A157" t="s">
        <v>272</v>
      </c>
      <c r="B157" t="s">
        <v>273</v>
      </c>
      <c r="C157" t="s">
        <v>343</v>
      </c>
    </row>
    <row r="158" spans="1:3" x14ac:dyDescent="0.35">
      <c r="A158" t="s">
        <v>274</v>
      </c>
      <c r="B158" t="s">
        <v>275</v>
      </c>
      <c r="C158" t="s">
        <v>351</v>
      </c>
    </row>
    <row r="159" spans="1:3" x14ac:dyDescent="0.35">
      <c r="A159" t="s">
        <v>276</v>
      </c>
      <c r="B159" t="s">
        <v>277</v>
      </c>
      <c r="C159" t="s">
        <v>351</v>
      </c>
    </row>
    <row r="160" spans="1:3" x14ac:dyDescent="0.35">
      <c r="A160" t="s">
        <v>278</v>
      </c>
      <c r="B160" t="s">
        <v>279</v>
      </c>
      <c r="C160" t="s">
        <v>329</v>
      </c>
    </row>
    <row r="161" spans="1:3" x14ac:dyDescent="0.35">
      <c r="A161" t="s">
        <v>280</v>
      </c>
      <c r="B161" t="s">
        <v>281</v>
      </c>
      <c r="C161" t="s">
        <v>317</v>
      </c>
    </row>
    <row r="162" spans="1:3" x14ac:dyDescent="0.35">
      <c r="A162" t="s">
        <v>282</v>
      </c>
      <c r="B162" t="s">
        <v>283</v>
      </c>
      <c r="C162" t="s">
        <v>329</v>
      </c>
    </row>
    <row r="163" spans="1:3" x14ac:dyDescent="0.35">
      <c r="A163" t="s">
        <v>272</v>
      </c>
      <c r="B163" t="s">
        <v>284</v>
      </c>
      <c r="C163" t="s">
        <v>320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0ACB1C-DCF0-46A6-8200-44F05495F5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Table1_1</vt:lpstr>
      <vt:lpstr>Table1</vt:lpstr>
      <vt:lpstr>run_results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Shrivastav</cp:lastModifiedBy>
  <dcterms:created xsi:type="dcterms:W3CDTF">2026-05-01T09:57:54Z</dcterms:created>
  <dcterms:modified xsi:type="dcterms:W3CDTF">2026-05-05T06:56:05Z</dcterms:modified>
</cp:coreProperties>
</file>